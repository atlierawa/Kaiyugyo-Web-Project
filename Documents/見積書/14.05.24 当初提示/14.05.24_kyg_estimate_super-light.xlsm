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4526"/>
  <workbookPr codeName="ThisWorkbook" autoCompressPictures="0"/>
  <bookViews>
    <workbookView xWindow="0" yWindow="0" windowWidth="27320" windowHeight="14840"/>
  </bookViews>
  <sheets>
    <sheet name="見積書" sheetId="2" r:id="rId1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H31" i="2" l="1"/>
  <c r="X16" i="2"/>
  <c r="X17" i="2"/>
  <c r="X15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5" i="2"/>
  <c r="F9" i="2"/>
  <c r="X36" i="2"/>
  <c r="I11" i="2"/>
</calcChain>
</file>

<file path=xl/comments1.xml><?xml version="1.0" encoding="utf-8"?>
<comments xmlns="http://schemas.openxmlformats.org/spreadsheetml/2006/main">
  <authors>
    <author>INUNITY</author>
    <author>USER</author>
    <author>ishizuka</author>
    <author>user</author>
  </authors>
  <commentList>
    <comment ref="V2" authorId="0">
      <text>
        <r>
          <rPr>
            <b/>
            <sz val="9"/>
            <color indexed="81"/>
            <rFont val="ＭＳ Ｐゴシック"/>
            <family val="3"/>
            <charset val="128"/>
          </rPr>
          <t>見積書の作成日を入力します。
例、2013/1/1（自動的に和暦表示されます。）</t>
        </r>
      </text>
    </comment>
    <comment ref="V3" authorId="0">
      <text>
        <r>
          <rPr>
            <b/>
            <sz val="9"/>
            <color indexed="81"/>
            <rFont val="ＭＳ Ｐゴシック"/>
            <family val="3"/>
            <charset val="128"/>
          </rPr>
          <t>見積書番号を入力します。</t>
        </r>
      </text>
    </comment>
    <comment ref="B4" authorId="0">
      <text>
        <r>
          <rPr>
            <b/>
            <sz val="9"/>
            <color indexed="81"/>
            <rFont val="ＭＳ Ｐゴシック"/>
            <family val="3"/>
            <charset val="128"/>
          </rPr>
          <t>相手先の会社名や店舗名などを入力します。</t>
        </r>
      </text>
    </comment>
    <comment ref="M4" authorId="1">
      <text>
        <r>
          <rPr>
            <b/>
            <sz val="9"/>
            <color indexed="81"/>
            <rFont val="ＭＳ Ｐゴシック"/>
            <family val="3"/>
            <charset val="128"/>
          </rPr>
          <t>任意の敬称に変更できます。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D6" authorId="0">
      <text>
        <r>
          <rPr>
            <b/>
            <sz val="9"/>
            <color indexed="81"/>
            <rFont val="ＭＳ Ｐゴシック"/>
            <family val="3"/>
            <charset val="128"/>
          </rPr>
          <t>件名を入力します。</t>
        </r>
      </text>
    </comment>
    <comment ref="P7" authorId="0">
      <text>
        <r>
          <rPr>
            <b/>
            <sz val="9"/>
            <color indexed="81"/>
            <rFont val="ＭＳ Ｐゴシック"/>
            <family val="3"/>
            <charset val="128"/>
          </rPr>
          <t>ここに自社名や店舗名などを入力します。</t>
        </r>
      </text>
    </comment>
    <comment ref="B8" authorId="2">
      <text>
        <r>
          <rPr>
            <b/>
            <sz val="9"/>
            <color indexed="81"/>
            <rFont val="ＭＳ Ｐゴシック"/>
            <family val="3"/>
            <charset val="128"/>
          </rPr>
          <t>任意で変更できます。</t>
        </r>
      </text>
    </comment>
    <comment ref="P8" authorId="3">
      <text>
        <r>
          <rPr>
            <b/>
            <sz val="9"/>
            <color indexed="81"/>
            <rFont val="ＭＳ Ｐゴシック"/>
            <family val="3"/>
            <charset val="128"/>
          </rPr>
          <t>任意で変更できます。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R8" authorId="0">
      <text>
        <r>
          <rPr>
            <b/>
            <sz val="9"/>
            <color indexed="81"/>
            <rFont val="ＭＳ Ｐゴシック"/>
            <family val="3"/>
            <charset val="128"/>
          </rPr>
          <t>担当者名を入力します。</t>
        </r>
      </text>
    </comment>
    <comment ref="F9" authorId="0">
      <text>
        <r>
          <rPr>
            <b/>
            <sz val="9"/>
            <color indexed="81"/>
            <rFont val="ＭＳ Ｐゴシック"/>
            <family val="3"/>
            <charset val="128"/>
          </rPr>
          <t>小計が自動入力されます。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R9" authorId="0">
      <text>
        <r>
          <rPr>
            <b/>
            <sz val="9"/>
            <color indexed="81"/>
            <rFont val="ＭＳ Ｐゴシック"/>
            <family val="3"/>
            <charset val="128"/>
          </rPr>
          <t>住所を入力します。</t>
        </r>
      </text>
    </comment>
    <comment ref="R1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ビル名などを入力します。</t>
        </r>
      </text>
    </comment>
    <comment ref="I11" authorId="0">
      <text>
        <r>
          <rPr>
            <b/>
            <sz val="9"/>
            <color indexed="81"/>
            <rFont val="ＭＳ Ｐゴシック"/>
            <family val="3"/>
            <charset val="128"/>
          </rPr>
          <t>消費税額（端数は切り捨て）が自動入力されます。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R11" authorId="0">
      <text>
        <r>
          <rPr>
            <b/>
            <sz val="9"/>
            <color indexed="81"/>
            <rFont val="ＭＳ Ｐゴシック"/>
            <family val="3"/>
            <charset val="128"/>
          </rPr>
          <t>電話番号を入力します。</t>
        </r>
      </text>
    </comment>
    <comment ref="X11" authorId="3">
      <text>
        <r>
          <rPr>
            <b/>
            <sz val="9"/>
            <color indexed="81"/>
            <rFont val="ＭＳ Ｐゴシック"/>
            <family val="3"/>
            <charset val="128"/>
          </rPr>
          <t>FAX番号を入力します。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P12" authorId="3">
      <text>
        <r>
          <rPr>
            <sz val="9"/>
            <color indexed="81"/>
            <rFont val="ＭＳ Ｐゴシック"/>
            <family val="3"/>
            <charset val="128"/>
          </rPr>
          <t xml:space="preserve">任意で変更可能です
</t>
        </r>
      </text>
    </comment>
    <comment ref="R12" authorId="0">
      <text>
        <r>
          <rPr>
            <b/>
            <sz val="9"/>
            <color indexed="81"/>
            <rFont val="ＭＳ Ｐゴシック"/>
            <family val="3"/>
            <charset val="128"/>
          </rPr>
          <t>電子メールアドレスなどを入力します。</t>
        </r>
      </text>
    </comment>
    <comment ref="C14" authorId="1">
      <text>
        <r>
          <rPr>
            <b/>
            <sz val="9"/>
            <color indexed="81"/>
            <rFont val="ＭＳ Ｐゴシック"/>
            <family val="3"/>
            <charset val="128"/>
          </rPr>
          <t>任意の項目名に変更できます。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Q15" authorId="0">
      <text>
        <r>
          <rPr>
            <b/>
            <sz val="9"/>
            <color indexed="81"/>
            <rFont val="ＭＳ Ｐゴシック"/>
            <family val="3"/>
            <charset val="128"/>
          </rPr>
          <t>数量は小数も入力できます。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U15" authorId="2">
      <text>
        <r>
          <rPr>
            <b/>
            <sz val="9"/>
            <color indexed="81"/>
            <rFont val="ＭＳ Ｐゴシック"/>
            <family val="3"/>
            <charset val="128"/>
          </rPr>
          <t>税抜き金額で入力します。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X15" authorId="0">
      <text>
        <r>
          <rPr>
            <b/>
            <sz val="9"/>
            <color indexed="81"/>
            <rFont val="ＭＳ Ｐゴシック"/>
            <family val="3"/>
            <charset val="128"/>
          </rPr>
          <t>数量×単価の計算結果を表示します。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X33" authorId="0">
      <text>
        <r>
          <rPr>
            <b/>
            <sz val="9"/>
            <color indexed="81"/>
            <rFont val="ＭＳ Ｐゴシック"/>
            <family val="3"/>
            <charset val="128"/>
          </rPr>
          <t>縦計が自動計算されます。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X34" authorId="2">
      <text>
        <r>
          <rPr>
            <b/>
            <sz val="9"/>
            <color indexed="81"/>
            <rFont val="ＭＳ Ｐゴシック"/>
            <family val="3"/>
            <charset val="128"/>
          </rPr>
          <t>消費税率をパーセントで入力します。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X35" authorId="0">
      <text>
        <r>
          <rPr>
            <b/>
            <sz val="9"/>
            <color indexed="81"/>
            <rFont val="ＭＳ Ｐゴシック"/>
            <family val="3"/>
            <charset val="128"/>
          </rPr>
          <t>小計と消費税率で自動計算されます。端数は切り捨てです。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X36" authorId="0">
      <text>
        <r>
          <rPr>
            <b/>
            <sz val="9"/>
            <color indexed="81"/>
            <rFont val="ＭＳ Ｐゴシック"/>
            <family val="3"/>
            <charset val="128"/>
          </rPr>
          <t>小計と消費税額の合計が表示されます。</t>
        </r>
      </text>
    </comment>
    <comment ref="B43" authorId="2">
      <text>
        <r>
          <rPr>
            <b/>
            <sz val="9"/>
            <color indexed="81"/>
            <rFont val="ＭＳ Ｐゴシック"/>
            <family val="3"/>
            <charset val="128"/>
          </rPr>
          <t>任意で変更できます。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B44" authorId="2">
      <text>
        <r>
          <rPr>
            <b/>
            <sz val="9"/>
            <color indexed="81"/>
            <rFont val="ＭＳ Ｐゴシック"/>
            <family val="3"/>
            <charset val="128"/>
          </rPr>
          <t>任意で変更できます。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B45" authorId="2">
      <text>
        <r>
          <rPr>
            <b/>
            <sz val="9"/>
            <color indexed="81"/>
            <rFont val="ＭＳ Ｐゴシック"/>
            <family val="3"/>
            <charset val="128"/>
          </rPr>
          <t>任意で変更できます。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F45" authorId="0">
      <text>
        <r>
          <rPr>
            <b/>
            <sz val="9"/>
            <color indexed="81"/>
            <rFont val="ＭＳ Ｐゴシック"/>
            <family val="3"/>
            <charset val="128"/>
          </rPr>
          <t>受け渡し場所を入力します。</t>
        </r>
      </text>
    </comment>
    <comment ref="B46" authorId="2">
      <text>
        <r>
          <rPr>
            <b/>
            <sz val="9"/>
            <color indexed="81"/>
            <rFont val="ＭＳ Ｐゴシック"/>
            <family val="3"/>
            <charset val="128"/>
          </rPr>
          <t>任意で変更できます。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F46" authorId="0">
      <text>
        <r>
          <rPr>
            <b/>
            <sz val="9"/>
            <color indexed="81"/>
            <rFont val="ＭＳ Ｐゴシック"/>
            <family val="3"/>
            <charset val="128"/>
          </rPr>
          <t>お支払い条件を入力します。</t>
        </r>
      </text>
    </comment>
  </commentList>
</comments>
</file>

<file path=xl/sharedStrings.xml><?xml version="1.0" encoding="utf-8"?>
<sst xmlns="http://schemas.openxmlformats.org/spreadsheetml/2006/main" count="64" uniqueCount="59">
  <si>
    <t>小計</t>
    <rPh sb="0" eb="2">
      <t>ショウケイ</t>
    </rPh>
    <phoneticPr fontId="1"/>
  </si>
  <si>
    <t>合計</t>
    <rPh sb="0" eb="2">
      <t>ゴウケイ</t>
    </rPh>
    <phoneticPr fontId="1"/>
  </si>
  <si>
    <t>御中</t>
    <rPh sb="0" eb="2">
      <t>オンチュウ</t>
    </rPh>
    <phoneticPr fontId="1"/>
  </si>
  <si>
    <t>御　見　積　書</t>
    <rPh sb="0" eb="1">
      <t>オ</t>
    </rPh>
    <rPh sb="2" eb="3">
      <t>ケン</t>
    </rPh>
    <rPh sb="4" eb="5">
      <t>セキ</t>
    </rPh>
    <rPh sb="6" eb="7">
      <t>ショ</t>
    </rPh>
    <phoneticPr fontId="1"/>
  </si>
  <si>
    <t>件　　名</t>
    <rPh sb="0" eb="1">
      <t>ケン</t>
    </rPh>
    <rPh sb="3" eb="4">
      <t>メイ</t>
    </rPh>
    <phoneticPr fontId="1"/>
  </si>
  <si>
    <t>住所</t>
    <rPh sb="0" eb="2">
      <t>ジュウショ</t>
    </rPh>
    <phoneticPr fontId="1"/>
  </si>
  <si>
    <t>電話番号</t>
    <rPh sb="0" eb="2">
      <t>デンワ</t>
    </rPh>
    <rPh sb="2" eb="4">
      <t>バンゴウ</t>
    </rPh>
    <phoneticPr fontId="1"/>
  </si>
  <si>
    <t>下記の通りお見積もり申し上げます。</t>
  </si>
  <si>
    <t>見 積 金 額</t>
    <rPh sb="0" eb="1">
      <t>ケン</t>
    </rPh>
    <rPh sb="2" eb="3">
      <t>セキ</t>
    </rPh>
    <rPh sb="4" eb="5">
      <t>キン</t>
    </rPh>
    <rPh sb="6" eb="7">
      <t>ガク</t>
    </rPh>
    <phoneticPr fontId="1"/>
  </si>
  <si>
    <t>数量</t>
    <rPh sb="0" eb="2">
      <t>スウリョウ</t>
    </rPh>
    <phoneticPr fontId="1"/>
  </si>
  <si>
    <t>単位</t>
    <rPh sb="0" eb="2">
      <t>タンイ</t>
    </rPh>
    <phoneticPr fontId="1"/>
  </si>
  <si>
    <t>金　額</t>
    <rPh sb="0" eb="1">
      <t>キン</t>
    </rPh>
    <rPh sb="2" eb="3">
      <t>ガク</t>
    </rPh>
    <phoneticPr fontId="1"/>
  </si>
  <si>
    <t>単　価</t>
    <rPh sb="0" eb="1">
      <t>タン</t>
    </rPh>
    <rPh sb="2" eb="3">
      <t>アタイ</t>
    </rPh>
    <phoneticPr fontId="1"/>
  </si>
  <si>
    <t>【備　考】</t>
    <rPh sb="1" eb="2">
      <t>ソナエ</t>
    </rPh>
    <rPh sb="3" eb="4">
      <t>コウ</t>
    </rPh>
    <phoneticPr fontId="1"/>
  </si>
  <si>
    <t>見積番号</t>
    <phoneticPr fontId="1"/>
  </si>
  <si>
    <t>No</t>
    <phoneticPr fontId="1"/>
  </si>
  <si>
    <t>E-Mail</t>
    <phoneticPr fontId="1"/>
  </si>
  <si>
    <t>担当者</t>
    <rPh sb="0" eb="3">
      <t>タントウシャ</t>
    </rPh>
    <phoneticPr fontId="1"/>
  </si>
  <si>
    <t>見積作成日</t>
    <rPh sb="0" eb="2">
      <t>ミツ</t>
    </rPh>
    <phoneticPr fontId="1"/>
  </si>
  <si>
    <t>消費税額</t>
    <phoneticPr fontId="1"/>
  </si>
  <si>
    <t>消費税率</t>
    <rPh sb="0" eb="3">
      <t>ショウヒゼイ</t>
    </rPh>
    <rPh sb="3" eb="4">
      <t>リツ</t>
    </rPh>
    <phoneticPr fontId="1"/>
  </si>
  <si>
    <t>消費税額</t>
    <rPh sb="0" eb="3">
      <t>ショウヒゼイ</t>
    </rPh>
    <rPh sb="3" eb="4">
      <t>ガク</t>
    </rPh>
    <phoneticPr fontId="1"/>
  </si>
  <si>
    <t>（税抜）</t>
    <rPh sb="1" eb="2">
      <t>ゼイ</t>
    </rPh>
    <rPh sb="2" eb="3">
      <t>ヌ</t>
    </rPh>
    <phoneticPr fontId="1"/>
  </si>
  <si>
    <t>Cafe＆ガラス工房　海遊魚</t>
    <phoneticPr fontId="1"/>
  </si>
  <si>
    <t>Creative office OURIRO</t>
    <phoneticPr fontId="1"/>
  </si>
  <si>
    <t>ouriro24@gmail.com</t>
    <phoneticPr fontId="1"/>
  </si>
  <si>
    <t>090-9348-4622</t>
    <phoneticPr fontId="1"/>
  </si>
  <si>
    <t>式</t>
    <rPh sb="0" eb="1">
      <t>シキ</t>
    </rPh>
    <phoneticPr fontId="1"/>
  </si>
  <si>
    <t>品　　　　名</t>
    <rPh sb="0" eb="6">
      <t>シナメイ</t>
    </rPh>
    <phoneticPr fontId="1"/>
  </si>
  <si>
    <t>項　　目</t>
    <rPh sb="0" eb="4">
      <t>コウモク</t>
    </rPh>
    <phoneticPr fontId="1"/>
  </si>
  <si>
    <t>年</t>
    <rPh sb="0" eb="1">
      <t>ネン</t>
    </rPh>
    <phoneticPr fontId="1"/>
  </si>
  <si>
    <t>要件定義/コンサルティング</t>
    <rPh sb="0" eb="2">
      <t>ヨウケン</t>
    </rPh>
    <rPh sb="2" eb="4">
      <t>テイギ</t>
    </rPh>
    <phoneticPr fontId="1"/>
  </si>
  <si>
    <t>コーディング</t>
    <phoneticPr fontId="1"/>
  </si>
  <si>
    <t>ウェブサイト設計</t>
    <rPh sb="6" eb="8">
      <t>セッケイ</t>
    </rPh>
    <phoneticPr fontId="1"/>
  </si>
  <si>
    <t>CMS設定</t>
    <rPh sb="3" eb="5">
      <t>セッテイ</t>
    </rPh>
    <phoneticPr fontId="1"/>
  </si>
  <si>
    <t>動作検証・試験</t>
    <rPh sb="0" eb="4">
      <t>ドウサケンショウ</t>
    </rPh>
    <rPh sb="5" eb="7">
      <t>シケン</t>
    </rPh>
    <phoneticPr fontId="1"/>
  </si>
  <si>
    <t>デザイン</t>
    <phoneticPr fontId="1"/>
  </si>
  <si>
    <t>システム</t>
    <phoneticPr fontId="1"/>
  </si>
  <si>
    <t>テンプレートデザイン</t>
    <phoneticPr fontId="1"/>
  </si>
  <si>
    <t>工房ホームページの新規開設</t>
    <rPh sb="0" eb="2">
      <t>コウボウ</t>
    </rPh>
    <rPh sb="9" eb="11">
      <t>シンキ</t>
    </rPh>
    <rPh sb="11" eb="13">
      <t>カイセツ</t>
    </rPh>
    <phoneticPr fontId="1"/>
  </si>
  <si>
    <t>交通費</t>
    <rPh sb="0" eb="3">
      <t>コウツウヒ</t>
    </rPh>
    <phoneticPr fontId="1"/>
  </si>
  <si>
    <t>実際の経費合計</t>
    <rPh sb="0" eb="2">
      <t>ジッサイ</t>
    </rPh>
    <rPh sb="3" eb="5">
      <t>ケイヒ</t>
    </rPh>
    <rPh sb="5" eb="7">
      <t>ゴウケイ</t>
    </rPh>
    <phoneticPr fontId="1"/>
  </si>
  <si>
    <t>直紀ギャラ</t>
    <rPh sb="0" eb="2">
      <t>ナオキ</t>
    </rPh>
    <phoneticPr fontId="1"/>
  </si>
  <si>
    <t>ゆいギャラ</t>
    <phoneticPr fontId="1"/>
  </si>
  <si>
    <t>ドメイン取得および管理</t>
    <rPh sb="4" eb="6">
      <t>シュトク</t>
    </rPh>
    <rPh sb="9" eb="11">
      <t>カンリ</t>
    </rPh>
    <phoneticPr fontId="1"/>
  </si>
  <si>
    <t>ドメイン取得＆管理</t>
    <rPh sb="4" eb="6">
      <t>シュトク</t>
    </rPh>
    <rPh sb="7" eb="9">
      <t>カンリ</t>
    </rPh>
    <phoneticPr fontId="1"/>
  </si>
  <si>
    <t>・1ページのボリュームはA4の原稿1枚/もしくは一般的なモニタサイズにスクロールなしで収まる程度のボリュームとなり</t>
    <phoneticPr fontId="1"/>
  </si>
  <si>
    <t>ます。</t>
    <phoneticPr fontId="1"/>
  </si>
  <si>
    <t>・サイト内の総ページ数は、１５ページ以内を想定しています。</t>
    <rPh sb="4" eb="5">
      <t>ナイ</t>
    </rPh>
    <rPh sb="6" eb="7">
      <t>ソウゴウ</t>
    </rPh>
    <rPh sb="10" eb="11">
      <t>スウ</t>
    </rPh>
    <rPh sb="18" eb="20">
      <t>イナイ</t>
    </rPh>
    <rPh sb="21" eb="23">
      <t>ソウテイ</t>
    </rPh>
    <phoneticPr fontId="1"/>
  </si>
  <si>
    <t>作業期間：</t>
    <rPh sb="0" eb="4">
      <t>サギョウキカン</t>
    </rPh>
    <phoneticPr fontId="1"/>
  </si>
  <si>
    <t>発行日から３ヶ月以内</t>
    <rPh sb="0" eb="2">
      <t>ハッコウ</t>
    </rPh>
    <rPh sb="2" eb="3">
      <t>ビ</t>
    </rPh>
    <rPh sb="6" eb="8">
      <t>カゲツ</t>
    </rPh>
    <rPh sb="8" eb="10">
      <t>イナイ</t>
    </rPh>
    <phoneticPr fontId="1"/>
  </si>
  <si>
    <t>2014年9月1日までに問題なく運用できる状態で制作いたします。</t>
    <rPh sb="4" eb="5">
      <t>ネン</t>
    </rPh>
    <rPh sb="6" eb="7">
      <t>ガツ</t>
    </rPh>
    <rPh sb="8" eb="9">
      <t>ニチ</t>
    </rPh>
    <rPh sb="12" eb="14">
      <t>モンダイ</t>
    </rPh>
    <rPh sb="16" eb="18">
      <t>ウンヨウ</t>
    </rPh>
    <rPh sb="21" eb="23">
      <t>ジョウタイ</t>
    </rPh>
    <rPh sb="24" eb="26">
      <t>セイサク</t>
    </rPh>
    <phoneticPr fontId="1"/>
  </si>
  <si>
    <t>見積書有効期限：</t>
  </si>
  <si>
    <t>・アクセス解析は無料で設置いたします。</t>
    <phoneticPr fontId="1"/>
  </si>
  <si>
    <t>・サイトはtumblrのサーバー内に設置し、更新、記事追加などはすべてtumblrのアカウントから管理できる形で作成いた</t>
    <rPh sb="16" eb="17">
      <t>ウチ</t>
    </rPh>
    <rPh sb="18" eb="20">
      <t>セッチ</t>
    </rPh>
    <rPh sb="22" eb="24">
      <t>コウシン</t>
    </rPh>
    <rPh sb="25" eb="27">
      <t>キジ</t>
    </rPh>
    <rPh sb="27" eb="29">
      <t>ツイカ</t>
    </rPh>
    <rPh sb="49" eb="51">
      <t>カンリ</t>
    </rPh>
    <rPh sb="54" eb="55">
      <t>カタチ</t>
    </rPh>
    <rPh sb="56" eb="58">
      <t>サクセイ</t>
    </rPh>
    <phoneticPr fontId="1"/>
  </si>
  <si>
    <t>します。</t>
    <phoneticPr fontId="1"/>
  </si>
  <si>
    <t>15000円まで安房マネー支払いOK</t>
    <rPh sb="5" eb="6">
      <t>エン</t>
    </rPh>
    <rPh sb="8" eb="10">
      <t>アワ</t>
    </rPh>
    <rPh sb="13" eb="15">
      <t>シハラ</t>
    </rPh>
    <phoneticPr fontId="1"/>
  </si>
  <si>
    <t>須藤　悠惟</t>
    <rPh sb="0" eb="2">
      <t>スドウ</t>
    </rPh>
    <rPh sb="3" eb="4">
      <t>ユウ</t>
    </rPh>
    <rPh sb="4" eb="5">
      <t>ユイ</t>
    </rPh>
    <phoneticPr fontId="1"/>
  </si>
  <si>
    <t>東京都国分寺市東恋ケ窪４−１−２１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</si>
</sst>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5" formatCode="&quot;¥&quot;#,##0;&quot;¥&quot;\-#,##0"/>
    <numFmt numFmtId="176" formatCode="[$-411]ggge&quot;年&quot;m&quot;月&quot;d&quot;日&quot;;@"/>
    <numFmt numFmtId="177" formatCode="0_ "/>
  </numFmts>
  <fonts count="18" x14ac:knownFonts="1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4"/>
      <name val="ＭＳ Ｐ明朝"/>
      <family val="1"/>
      <charset val="128"/>
    </font>
    <font>
      <sz val="11"/>
      <name val="ＭＳ Ｐ明朝"/>
      <family val="1"/>
      <charset val="128"/>
    </font>
    <font>
      <sz val="9"/>
      <name val="ＭＳ Ｐ明朝"/>
      <family val="1"/>
      <charset val="128"/>
    </font>
    <font>
      <sz val="12"/>
      <name val="ＭＳ Ｐ明朝"/>
      <family val="1"/>
      <charset val="128"/>
    </font>
    <font>
      <sz val="10"/>
      <name val="ＭＳ Ｐ明朝"/>
      <family val="1"/>
      <charset val="128"/>
    </font>
    <font>
      <b/>
      <sz val="16"/>
      <name val="ＭＳ Ｐ明朝"/>
      <family val="1"/>
      <charset val="128"/>
    </font>
    <font>
      <sz val="18"/>
      <name val="ＭＳ Ｐ明朝"/>
      <family val="1"/>
      <charset val="128"/>
    </font>
    <font>
      <sz val="10"/>
      <color indexed="10"/>
      <name val="ＭＳ Ｐ明朝"/>
      <family val="1"/>
      <charset val="128"/>
    </font>
    <font>
      <sz val="12"/>
      <color indexed="10"/>
      <name val="ＭＳ Ｐ明朝"/>
      <family val="1"/>
      <charset val="128"/>
    </font>
    <font>
      <b/>
      <sz val="12"/>
      <name val="ＭＳ Ｐ明朝"/>
      <family val="1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ＭＳ Ｐ明朝"/>
      <family val="1"/>
      <charset val="128"/>
    </font>
    <font>
      <b/>
      <sz val="9"/>
      <name val="ＭＳ Ｐ明朝"/>
      <family val="1"/>
      <charset val="128"/>
    </font>
    <font>
      <u/>
      <sz val="11"/>
      <color theme="10"/>
      <name val="ＭＳ Ｐゴシック"/>
      <family val="3"/>
      <charset val="128"/>
    </font>
    <font>
      <u/>
      <sz val="11"/>
      <color theme="11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22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dashed">
        <color auto="1"/>
      </right>
      <top style="thin">
        <color auto="1"/>
      </top>
      <bottom/>
      <diagonal/>
    </border>
    <border>
      <left style="thin">
        <color auto="1"/>
      </left>
      <right style="dashed">
        <color auto="1"/>
      </right>
      <top/>
      <bottom/>
      <diagonal/>
    </border>
    <border>
      <left style="thin">
        <color auto="1"/>
      </left>
      <right style="dashed">
        <color auto="1"/>
      </right>
      <top/>
      <bottom style="thin">
        <color auto="1"/>
      </bottom>
      <diagonal/>
    </border>
    <border>
      <left style="dashed">
        <color auto="1"/>
      </left>
      <right/>
      <top/>
      <bottom/>
      <diagonal/>
    </border>
    <border>
      <left/>
      <right style="dashed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ashed">
        <color auto="1"/>
      </left>
      <right/>
      <top/>
      <bottom style="thin">
        <color auto="1"/>
      </bottom>
      <diagonal/>
    </border>
    <border>
      <left/>
      <right style="dashed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dashed">
        <color auto="1"/>
      </left>
      <right/>
      <top style="thin">
        <color auto="1"/>
      </top>
      <bottom/>
      <diagonal/>
    </border>
    <border>
      <left/>
      <right style="dashed">
        <color auto="1"/>
      </right>
      <top style="thin">
        <color auto="1"/>
      </top>
      <bottom/>
      <diagonal/>
    </border>
  </borders>
  <cellStyleXfs count="14">
    <xf numFmtId="0" fontId="0" fillId="0" borderId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</cellStyleXfs>
  <cellXfs count="156">
    <xf numFmtId="0" fontId="0" fillId="0" borderId="0" xfId="0"/>
    <xf numFmtId="0" fontId="3" fillId="0" borderId="0" xfId="0" applyFont="1"/>
    <xf numFmtId="0" fontId="3" fillId="0" borderId="0" xfId="0" applyFont="1" applyProtection="1"/>
    <xf numFmtId="0" fontId="4" fillId="0" borderId="0" xfId="0" applyFont="1" applyAlignment="1" applyProtection="1"/>
    <xf numFmtId="176" fontId="4" fillId="0" borderId="0" xfId="0" applyNumberFormat="1" applyFont="1" applyAlignment="1" applyProtection="1"/>
    <xf numFmtId="0" fontId="4" fillId="0" borderId="0" xfId="0" applyFont="1" applyAlignment="1"/>
    <xf numFmtId="3" fontId="8" fillId="0" borderId="0" xfId="0" applyNumberFormat="1" applyFont="1" applyAlignment="1"/>
    <xf numFmtId="0" fontId="4" fillId="0" borderId="1" xfId="0" applyFont="1" applyBorder="1" applyAlignment="1"/>
    <xf numFmtId="0" fontId="3" fillId="0" borderId="3" xfId="0" applyFont="1" applyBorder="1"/>
    <xf numFmtId="0" fontId="3" fillId="0" borderId="0" xfId="0" applyFont="1" applyBorder="1"/>
    <xf numFmtId="0" fontId="3" fillId="0" borderId="4" xfId="0" applyFont="1" applyBorder="1"/>
    <xf numFmtId="0" fontId="3" fillId="0" borderId="5" xfId="0" applyFont="1" applyBorder="1"/>
    <xf numFmtId="0" fontId="6" fillId="0" borderId="6" xfId="0" applyFont="1" applyBorder="1"/>
    <xf numFmtId="0" fontId="3" fillId="0" borderId="1" xfId="0" applyFont="1" applyBorder="1"/>
    <xf numFmtId="177" fontId="6" fillId="0" borderId="7" xfId="0" applyNumberFormat="1" applyFont="1" applyBorder="1" applyProtection="1">
      <protection locked="0"/>
    </xf>
    <xf numFmtId="177" fontId="6" fillId="0" borderId="8" xfId="0" applyNumberFormat="1" applyFont="1" applyBorder="1" applyProtection="1">
      <protection locked="0"/>
    </xf>
    <xf numFmtId="177" fontId="6" fillId="0" borderId="8" xfId="0" applyNumberFormat="1" applyFont="1" applyFill="1" applyBorder="1" applyProtection="1">
      <protection locked="0"/>
    </xf>
    <xf numFmtId="177" fontId="9" fillId="0" borderId="8" xfId="0" applyNumberFormat="1" applyFont="1" applyFill="1" applyBorder="1" applyProtection="1">
      <protection locked="0"/>
    </xf>
    <xf numFmtId="49" fontId="6" fillId="0" borderId="2" xfId="0" applyNumberFormat="1" applyFont="1" applyBorder="1" applyAlignment="1">
      <alignment horizontal="center"/>
    </xf>
    <xf numFmtId="177" fontId="6" fillId="0" borderId="9" xfId="0" applyNumberFormat="1" applyFont="1" applyFill="1" applyBorder="1" applyProtection="1">
      <protection locked="0"/>
    </xf>
    <xf numFmtId="3" fontId="14" fillId="0" borderId="0" xfId="0" applyNumberFormat="1" applyFont="1" applyAlignment="1"/>
    <xf numFmtId="0" fontId="3" fillId="0" borderId="0" xfId="0" applyFont="1" applyAlignment="1">
      <alignment horizontal="right"/>
    </xf>
    <xf numFmtId="0" fontId="3" fillId="0" borderId="0" xfId="0" applyFont="1" applyAlignment="1">
      <alignment horizontal="right"/>
    </xf>
    <xf numFmtId="49" fontId="6" fillId="0" borderId="10" xfId="0" applyNumberFormat="1" applyFont="1" applyBorder="1" applyAlignment="1" applyProtection="1">
      <alignment horizontal="right"/>
      <protection locked="0"/>
    </xf>
    <xf numFmtId="49" fontId="6" fillId="0" borderId="0" xfId="0" applyNumberFormat="1" applyFont="1" applyBorder="1" applyAlignment="1" applyProtection="1">
      <alignment horizontal="right"/>
      <protection locked="0"/>
    </xf>
    <xf numFmtId="0" fontId="5" fillId="0" borderId="10" xfId="0" applyNumberFormat="1" applyFont="1" applyBorder="1" applyAlignment="1" applyProtection="1">
      <alignment horizontal="right"/>
      <protection locked="0"/>
    </xf>
    <xf numFmtId="0" fontId="5" fillId="0" borderId="11" xfId="0" applyNumberFormat="1" applyFont="1" applyBorder="1" applyAlignment="1" applyProtection="1">
      <alignment horizontal="right"/>
      <protection locked="0"/>
    </xf>
    <xf numFmtId="0" fontId="5" fillId="0" borderId="10" xfId="0" applyNumberFormat="1" applyFont="1" applyFill="1" applyBorder="1" applyAlignment="1" applyProtection="1">
      <alignment horizontal="right"/>
      <protection locked="0"/>
    </xf>
    <xf numFmtId="0" fontId="5" fillId="0" borderId="11" xfId="0" applyNumberFormat="1" applyFont="1" applyFill="1" applyBorder="1" applyAlignment="1" applyProtection="1">
      <alignment horizontal="right"/>
      <protection locked="0"/>
    </xf>
    <xf numFmtId="49" fontId="6" fillId="0" borderId="0" xfId="0" applyNumberFormat="1" applyFont="1" applyFill="1" applyBorder="1" applyAlignment="1" applyProtection="1">
      <alignment horizontal="center"/>
      <protection locked="0"/>
    </xf>
    <xf numFmtId="49" fontId="6" fillId="0" borderId="10" xfId="0" applyNumberFormat="1" applyFont="1" applyBorder="1" applyAlignment="1" applyProtection="1">
      <alignment horizontal="center"/>
      <protection locked="0"/>
    </xf>
    <xf numFmtId="49" fontId="6" fillId="0" borderId="11" xfId="0" applyNumberFormat="1" applyFont="1" applyBorder="1" applyAlignment="1" applyProtection="1">
      <alignment horizontal="center"/>
      <protection locked="0"/>
    </xf>
    <xf numFmtId="49" fontId="6" fillId="0" borderId="10" xfId="0" applyNumberFormat="1" applyFont="1" applyFill="1" applyBorder="1" applyAlignment="1" applyProtection="1">
      <alignment horizontal="right"/>
      <protection locked="0"/>
    </xf>
    <xf numFmtId="49" fontId="6" fillId="0" borderId="0" xfId="0" applyNumberFormat="1" applyFont="1" applyFill="1" applyBorder="1" applyAlignment="1" applyProtection="1">
      <alignment horizontal="right"/>
      <protection locked="0"/>
    </xf>
    <xf numFmtId="49" fontId="6" fillId="0" borderId="0" xfId="0" applyNumberFormat="1" applyFont="1" applyFill="1" applyBorder="1" applyAlignment="1" applyProtection="1">
      <protection locked="0"/>
    </xf>
    <xf numFmtId="49" fontId="6" fillId="0" borderId="11" xfId="0" applyNumberFormat="1" applyFont="1" applyFill="1" applyBorder="1" applyAlignment="1" applyProtection="1">
      <protection locked="0"/>
    </xf>
    <xf numFmtId="49" fontId="6" fillId="0" borderId="0" xfId="0" applyNumberFormat="1" applyFont="1" applyBorder="1" applyAlignment="1" applyProtection="1">
      <protection locked="0"/>
    </xf>
    <xf numFmtId="49" fontId="6" fillId="0" borderId="11" xfId="0" applyNumberFormat="1" applyFont="1" applyBorder="1" applyAlignment="1" applyProtection="1">
      <protection locked="0"/>
    </xf>
    <xf numFmtId="49" fontId="2" fillId="0" borderId="0" xfId="0" applyNumberFormat="1" applyFont="1" applyAlignment="1">
      <alignment horizontal="center"/>
    </xf>
    <xf numFmtId="49" fontId="3" fillId="0" borderId="0" xfId="0" applyNumberFormat="1" applyFont="1" applyAlignment="1" applyProtection="1">
      <alignment horizontal="left"/>
      <protection locked="0"/>
    </xf>
    <xf numFmtId="49" fontId="6" fillId="0" borderId="0" xfId="0" applyNumberFormat="1" applyFont="1" applyAlignment="1" applyProtection="1">
      <alignment horizontal="left"/>
      <protection locked="0"/>
    </xf>
    <xf numFmtId="49" fontId="4" fillId="0" borderId="0" xfId="0" applyNumberFormat="1" applyFont="1" applyAlignment="1" applyProtection="1">
      <alignment horizontal="right"/>
      <protection locked="0"/>
    </xf>
    <xf numFmtId="0" fontId="4" fillId="0" borderId="0" xfId="0" applyFont="1" applyAlignment="1">
      <alignment horizontal="right"/>
    </xf>
    <xf numFmtId="49" fontId="4" fillId="0" borderId="0" xfId="0" applyNumberFormat="1" applyFont="1" applyAlignment="1">
      <alignment horizontal="right"/>
    </xf>
    <xf numFmtId="0" fontId="5" fillId="0" borderId="20" xfId="0" applyNumberFormat="1" applyFont="1" applyBorder="1" applyAlignment="1" applyProtection="1">
      <alignment horizontal="right"/>
      <protection locked="0"/>
    </xf>
    <xf numFmtId="0" fontId="5" fillId="0" borderId="21" xfId="0" applyNumberFormat="1" applyFont="1" applyBorder="1" applyAlignment="1" applyProtection="1">
      <alignment horizontal="right"/>
      <protection locked="0"/>
    </xf>
    <xf numFmtId="49" fontId="6" fillId="0" borderId="0" xfId="0" applyNumberFormat="1" applyFont="1" applyBorder="1" applyAlignment="1" applyProtection="1">
      <alignment horizontal="center"/>
      <protection locked="0"/>
    </xf>
    <xf numFmtId="3" fontId="5" fillId="0" borderId="20" xfId="0" applyNumberFormat="1" applyFont="1" applyBorder="1" applyAlignment="1" applyProtection="1">
      <alignment horizontal="right"/>
      <protection locked="0"/>
    </xf>
    <xf numFmtId="3" fontId="5" fillId="0" borderId="1" xfId="0" applyNumberFormat="1" applyFont="1" applyBorder="1" applyAlignment="1" applyProtection="1">
      <alignment horizontal="right"/>
      <protection locked="0"/>
    </xf>
    <xf numFmtId="3" fontId="5" fillId="0" borderId="21" xfId="0" applyNumberFormat="1" applyFont="1" applyBorder="1" applyAlignment="1" applyProtection="1">
      <alignment horizontal="right"/>
      <protection locked="0"/>
    </xf>
    <xf numFmtId="49" fontId="6" fillId="0" borderId="0" xfId="0" applyNumberFormat="1" applyFont="1" applyAlignment="1">
      <alignment horizontal="right"/>
    </xf>
    <xf numFmtId="49" fontId="6" fillId="0" borderId="17" xfId="0" applyNumberFormat="1" applyFont="1" applyBorder="1" applyAlignment="1">
      <alignment horizontal="center"/>
    </xf>
    <xf numFmtId="49" fontId="6" fillId="0" borderId="14" xfId="0" applyNumberFormat="1" applyFont="1" applyBorder="1" applyAlignment="1">
      <alignment horizontal="center"/>
    </xf>
    <xf numFmtId="49" fontId="6" fillId="0" borderId="20" xfId="0" applyNumberFormat="1" applyFont="1" applyBorder="1" applyAlignment="1" applyProtection="1">
      <alignment horizontal="right"/>
      <protection locked="0"/>
    </xf>
    <xf numFmtId="49" fontId="6" fillId="0" borderId="1" xfId="0" applyNumberFormat="1" applyFont="1" applyBorder="1" applyAlignment="1" applyProtection="1">
      <alignment horizontal="right"/>
      <protection locked="0"/>
    </xf>
    <xf numFmtId="176" fontId="4" fillId="0" borderId="0" xfId="0" applyNumberFormat="1" applyFont="1" applyAlignment="1" applyProtection="1">
      <alignment horizontal="left"/>
      <protection locked="0"/>
    </xf>
    <xf numFmtId="0" fontId="4" fillId="0" borderId="0" xfId="0" applyFont="1" applyAlignment="1" applyProtection="1">
      <alignment horizontal="left"/>
      <protection locked="0"/>
    </xf>
    <xf numFmtId="0" fontId="5" fillId="0" borderId="5" xfId="0" applyFont="1" applyBorder="1" applyAlignment="1" applyProtection="1">
      <alignment horizontal="left"/>
      <protection locked="0"/>
    </xf>
    <xf numFmtId="0" fontId="2" fillId="0" borderId="0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3" fillId="0" borderId="5" xfId="0" applyFont="1" applyBorder="1" applyAlignment="1" applyProtection="1">
      <alignment horizontal="center"/>
      <protection locked="0"/>
    </xf>
    <xf numFmtId="0" fontId="5" fillId="0" borderId="5" xfId="0" applyFont="1" applyBorder="1" applyAlignment="1">
      <alignment horizontal="center"/>
    </xf>
    <xf numFmtId="5" fontId="7" fillId="0" borderId="0" xfId="0" applyNumberFormat="1" applyFont="1" applyAlignment="1" applyProtection="1">
      <alignment horizontal="center"/>
      <protection hidden="1"/>
    </xf>
    <xf numFmtId="5" fontId="7" fillId="0" borderId="5" xfId="0" applyNumberFormat="1" applyFont="1" applyBorder="1" applyAlignment="1" applyProtection="1">
      <alignment horizontal="center"/>
      <protection hidden="1"/>
    </xf>
    <xf numFmtId="49" fontId="4" fillId="0" borderId="0" xfId="0" applyNumberFormat="1" applyFont="1" applyAlignment="1" applyProtection="1">
      <alignment horizontal="right"/>
    </xf>
    <xf numFmtId="49" fontId="16" fillId="0" borderId="0" xfId="1" applyNumberFormat="1" applyAlignment="1" applyProtection="1">
      <alignment horizontal="left"/>
      <protection locked="0"/>
    </xf>
    <xf numFmtId="3" fontId="5" fillId="0" borderId="1" xfId="0" applyNumberFormat="1" applyFont="1" applyBorder="1" applyAlignment="1" applyProtection="1">
      <alignment horizontal="right"/>
      <protection hidden="1"/>
    </xf>
    <xf numFmtId="3" fontId="5" fillId="0" borderId="19" xfId="0" applyNumberFormat="1" applyFont="1" applyBorder="1" applyAlignment="1" applyProtection="1">
      <alignment horizontal="right"/>
      <protection hidden="1"/>
    </xf>
    <xf numFmtId="49" fontId="6" fillId="0" borderId="13" xfId="0" applyNumberFormat="1" applyFont="1" applyBorder="1" applyAlignment="1" applyProtection="1">
      <alignment horizontal="center"/>
      <protection locked="0"/>
    </xf>
    <xf numFmtId="49" fontId="6" fillId="0" borderId="14" xfId="0" applyNumberFormat="1" applyFont="1" applyBorder="1" applyAlignment="1" applyProtection="1">
      <alignment horizontal="center"/>
      <protection locked="0"/>
    </xf>
    <xf numFmtId="49" fontId="6" fillId="0" borderId="17" xfId="0" applyNumberFormat="1" applyFont="1" applyBorder="1" applyAlignment="1" applyProtection="1">
      <alignment horizontal="center"/>
      <protection locked="0"/>
    </xf>
    <xf numFmtId="49" fontId="6" fillId="0" borderId="13" xfId="0" applyNumberFormat="1" applyFont="1" applyBorder="1" applyAlignment="1">
      <alignment horizontal="center"/>
    </xf>
    <xf numFmtId="5" fontId="15" fillId="0" borderId="13" xfId="0" applyNumberFormat="1" applyFont="1" applyBorder="1" applyAlignment="1" applyProtection="1">
      <alignment horizontal="left"/>
      <protection hidden="1"/>
    </xf>
    <xf numFmtId="49" fontId="6" fillId="0" borderId="1" xfId="0" applyNumberFormat="1" applyFont="1" applyBorder="1" applyAlignment="1" applyProtection="1">
      <protection locked="0"/>
    </xf>
    <xf numFmtId="49" fontId="6" fillId="0" borderId="21" xfId="0" applyNumberFormat="1" applyFont="1" applyBorder="1" applyAlignment="1" applyProtection="1">
      <protection locked="0"/>
    </xf>
    <xf numFmtId="0" fontId="0" fillId="0" borderId="11" xfId="0" applyNumberFormat="1" applyFill="1" applyBorder="1" applyAlignment="1">
      <alignment horizontal="right"/>
    </xf>
    <xf numFmtId="0" fontId="0" fillId="0" borderId="11" xfId="0" applyNumberFormat="1" applyBorder="1" applyAlignment="1">
      <alignment horizontal="right"/>
    </xf>
    <xf numFmtId="0" fontId="6" fillId="0" borderId="3" xfId="0" applyFont="1" applyBorder="1" applyAlignment="1"/>
    <xf numFmtId="0" fontId="6" fillId="0" borderId="0" xfId="0" applyFont="1" applyBorder="1" applyAlignment="1"/>
    <xf numFmtId="0" fontId="6" fillId="0" borderId="12" xfId="0" applyFont="1" applyBorder="1" applyAlignment="1"/>
    <xf numFmtId="0" fontId="6" fillId="0" borderId="4" xfId="0" applyFont="1" applyBorder="1" applyAlignment="1"/>
    <xf numFmtId="0" fontId="6" fillId="0" borderId="5" xfId="0" applyFont="1" applyBorder="1" applyAlignment="1"/>
    <xf numFmtId="0" fontId="6" fillId="0" borderId="18" xfId="0" applyFont="1" applyBorder="1" applyAlignment="1"/>
    <xf numFmtId="0" fontId="3" fillId="0" borderId="6" xfId="0" applyFont="1" applyBorder="1" applyAlignment="1" applyProtection="1">
      <alignment horizontal="left"/>
      <protection locked="0"/>
    </xf>
    <xf numFmtId="0" fontId="3" fillId="0" borderId="1" xfId="0" applyFont="1" applyBorder="1" applyAlignment="1" applyProtection="1">
      <alignment horizontal="left"/>
      <protection locked="0"/>
    </xf>
    <xf numFmtId="0" fontId="3" fillId="0" borderId="19" xfId="0" applyFont="1" applyBorder="1" applyAlignment="1" applyProtection="1">
      <alignment horizontal="left"/>
      <protection locked="0"/>
    </xf>
    <xf numFmtId="49" fontId="6" fillId="0" borderId="10" xfId="0" applyNumberFormat="1" applyFont="1" applyFill="1" applyBorder="1" applyAlignment="1" applyProtection="1">
      <alignment horizontal="center"/>
      <protection locked="0"/>
    </xf>
    <xf numFmtId="49" fontId="6" fillId="0" borderId="11" xfId="0" applyNumberFormat="1" applyFont="1" applyFill="1" applyBorder="1" applyAlignment="1" applyProtection="1">
      <alignment horizontal="center"/>
      <protection locked="0"/>
    </xf>
    <xf numFmtId="3" fontId="5" fillId="0" borderId="0" xfId="0" applyNumberFormat="1" applyFont="1" applyFill="1" applyBorder="1" applyAlignment="1" applyProtection="1">
      <alignment horizontal="right"/>
      <protection hidden="1"/>
    </xf>
    <xf numFmtId="3" fontId="5" fillId="0" borderId="12" xfId="0" applyNumberFormat="1" applyFont="1" applyFill="1" applyBorder="1" applyAlignment="1" applyProtection="1">
      <alignment horizontal="right"/>
      <protection hidden="1"/>
    </xf>
    <xf numFmtId="3" fontId="5" fillId="0" borderId="0" xfId="0" applyNumberFormat="1" applyFont="1" applyBorder="1" applyAlignment="1" applyProtection="1">
      <alignment horizontal="right"/>
      <protection hidden="1"/>
    </xf>
    <xf numFmtId="3" fontId="5" fillId="0" borderId="12" xfId="0" applyNumberFormat="1" applyFont="1" applyBorder="1" applyAlignment="1" applyProtection="1">
      <alignment horizontal="right"/>
      <protection hidden="1"/>
    </xf>
    <xf numFmtId="3" fontId="5" fillId="0" borderId="10" xfId="0" applyNumberFormat="1" applyFont="1" applyFill="1" applyBorder="1" applyAlignment="1" applyProtection="1">
      <alignment horizontal="right"/>
      <protection locked="0"/>
    </xf>
    <xf numFmtId="3" fontId="0" fillId="0" borderId="0" xfId="0" applyNumberFormat="1" applyFill="1" applyAlignment="1" applyProtection="1">
      <alignment horizontal="right"/>
      <protection locked="0"/>
    </xf>
    <xf numFmtId="3" fontId="0" fillId="0" borderId="11" xfId="0" applyNumberFormat="1" applyFill="1" applyBorder="1" applyAlignment="1" applyProtection="1">
      <alignment horizontal="right"/>
      <protection locked="0"/>
    </xf>
    <xf numFmtId="3" fontId="0" fillId="0" borderId="0" xfId="0" applyNumberFormat="1" applyAlignment="1" applyProtection="1">
      <alignment horizontal="right"/>
      <protection locked="0"/>
    </xf>
    <xf numFmtId="3" fontId="0" fillId="0" borderId="11" xfId="0" applyNumberFormat="1" applyBorder="1" applyAlignment="1" applyProtection="1">
      <alignment horizontal="right"/>
      <protection locked="0"/>
    </xf>
    <xf numFmtId="0" fontId="10" fillId="0" borderId="10" xfId="0" applyNumberFormat="1" applyFont="1" applyFill="1" applyBorder="1" applyAlignment="1" applyProtection="1">
      <alignment horizontal="right"/>
      <protection locked="0"/>
    </xf>
    <xf numFmtId="0" fontId="10" fillId="0" borderId="11" xfId="0" applyNumberFormat="1" applyFont="1" applyFill="1" applyBorder="1" applyAlignment="1" applyProtection="1">
      <alignment horizontal="right"/>
      <protection locked="0"/>
    </xf>
    <xf numFmtId="0" fontId="5" fillId="0" borderId="15" xfId="0" applyNumberFormat="1" applyFont="1" applyFill="1" applyBorder="1" applyAlignment="1" applyProtection="1">
      <alignment horizontal="right"/>
      <protection locked="0"/>
    </xf>
    <xf numFmtId="0" fontId="5" fillId="0" borderId="16" xfId="0" applyNumberFormat="1" applyFont="1" applyFill="1" applyBorder="1" applyAlignment="1" applyProtection="1">
      <alignment horizontal="right"/>
      <protection locked="0"/>
    </xf>
    <xf numFmtId="0" fontId="3" fillId="0" borderId="4" xfId="0" applyFont="1" applyBorder="1" applyAlignment="1" applyProtection="1">
      <alignment horizontal="left"/>
      <protection locked="0"/>
    </xf>
    <xf numFmtId="0" fontId="3" fillId="0" borderId="5" xfId="0" applyFont="1" applyBorder="1" applyAlignment="1" applyProtection="1">
      <alignment horizontal="left"/>
      <protection locked="0"/>
    </xf>
    <xf numFmtId="0" fontId="3" fillId="0" borderId="18" xfId="0" applyFont="1" applyBorder="1" applyAlignment="1" applyProtection="1">
      <alignment horizontal="left"/>
      <protection locked="0"/>
    </xf>
    <xf numFmtId="0" fontId="6" fillId="0" borderId="4" xfId="0" applyFont="1" applyBorder="1" applyAlignment="1">
      <alignment horizontal="right"/>
    </xf>
    <xf numFmtId="0" fontId="6" fillId="0" borderId="5" xfId="0" applyFont="1" applyBorder="1" applyAlignment="1">
      <alignment horizontal="right"/>
    </xf>
    <xf numFmtId="0" fontId="6" fillId="0" borderId="18" xfId="0" applyFont="1" applyBorder="1" applyAlignment="1">
      <alignment horizontal="right"/>
    </xf>
    <xf numFmtId="0" fontId="6" fillId="0" borderId="17" xfId="0" applyFont="1" applyBorder="1" applyAlignment="1">
      <alignment horizontal="right"/>
    </xf>
    <xf numFmtId="0" fontId="6" fillId="0" borderId="13" xfId="0" applyFont="1" applyBorder="1" applyAlignment="1">
      <alignment horizontal="right"/>
    </xf>
    <xf numFmtId="0" fontId="6" fillId="0" borderId="14" xfId="0" applyFont="1" applyBorder="1" applyAlignment="1">
      <alignment horizontal="right"/>
    </xf>
    <xf numFmtId="0" fontId="3" fillId="0" borderId="3" xfId="0" applyFont="1" applyBorder="1" applyAlignment="1" applyProtection="1">
      <alignment horizontal="left"/>
      <protection locked="0"/>
    </xf>
    <xf numFmtId="0" fontId="3" fillId="0" borderId="0" xfId="0" applyFont="1" applyBorder="1" applyAlignment="1" applyProtection="1">
      <alignment horizontal="left"/>
      <protection locked="0"/>
    </xf>
    <xf numFmtId="0" fontId="3" fillId="0" borderId="12" xfId="0" applyFont="1" applyBorder="1" applyAlignment="1" applyProtection="1">
      <alignment horizontal="left"/>
      <protection locked="0"/>
    </xf>
    <xf numFmtId="9" fontId="5" fillId="0" borderId="10" xfId="0" applyNumberFormat="1" applyFont="1" applyBorder="1" applyAlignment="1" applyProtection="1">
      <alignment horizontal="right"/>
      <protection hidden="1"/>
    </xf>
    <xf numFmtId="9" fontId="5" fillId="0" borderId="0" xfId="0" applyNumberFormat="1" applyFont="1" applyBorder="1" applyAlignment="1" applyProtection="1">
      <alignment horizontal="right"/>
      <protection hidden="1"/>
    </xf>
    <xf numFmtId="9" fontId="5" fillId="0" borderId="12" xfId="0" applyNumberFormat="1" applyFont="1" applyBorder="1" applyAlignment="1" applyProtection="1">
      <alignment horizontal="right"/>
      <protection hidden="1"/>
    </xf>
    <xf numFmtId="5" fontId="5" fillId="0" borderId="20" xfId="0" applyNumberFormat="1" applyFont="1" applyBorder="1" applyAlignment="1" applyProtection="1">
      <alignment horizontal="right"/>
      <protection hidden="1"/>
    </xf>
    <xf numFmtId="5" fontId="5" fillId="0" borderId="1" xfId="0" applyNumberFormat="1" applyFont="1" applyBorder="1" applyAlignment="1" applyProtection="1">
      <alignment horizontal="right"/>
      <protection hidden="1"/>
    </xf>
    <xf numFmtId="5" fontId="5" fillId="0" borderId="19" xfId="0" applyNumberFormat="1" applyFont="1" applyBorder="1" applyAlignment="1" applyProtection="1">
      <alignment horizontal="right"/>
      <protection hidden="1"/>
    </xf>
    <xf numFmtId="5" fontId="5" fillId="0" borderId="10" xfId="0" applyNumberFormat="1" applyFont="1" applyBorder="1" applyAlignment="1" applyProtection="1">
      <alignment horizontal="right"/>
      <protection hidden="1"/>
    </xf>
    <xf numFmtId="5" fontId="5" fillId="0" borderId="0" xfId="0" applyNumberFormat="1" applyFont="1" applyBorder="1" applyAlignment="1" applyProtection="1">
      <alignment horizontal="right"/>
      <protection hidden="1"/>
    </xf>
    <xf numFmtId="5" fontId="5" fillId="0" borderId="12" xfId="0" applyNumberFormat="1" applyFont="1" applyBorder="1" applyAlignment="1" applyProtection="1">
      <alignment horizontal="right"/>
      <protection hidden="1"/>
    </xf>
    <xf numFmtId="5" fontId="11" fillId="0" borderId="15" xfId="0" applyNumberFormat="1" applyFont="1" applyBorder="1" applyAlignment="1" applyProtection="1">
      <alignment horizontal="right"/>
      <protection hidden="1"/>
    </xf>
    <xf numFmtId="5" fontId="11" fillId="0" borderId="5" xfId="0" applyNumberFormat="1" applyFont="1" applyBorder="1" applyAlignment="1" applyProtection="1">
      <alignment horizontal="right"/>
      <protection hidden="1"/>
    </xf>
    <xf numFmtId="5" fontId="11" fillId="0" borderId="18" xfId="0" applyNumberFormat="1" applyFont="1" applyBorder="1" applyAlignment="1" applyProtection="1">
      <alignment horizontal="right"/>
      <protection hidden="1"/>
    </xf>
    <xf numFmtId="0" fontId="3" fillId="0" borderId="0" xfId="0" applyFont="1" applyBorder="1" applyAlignment="1">
      <alignment horizontal="right"/>
    </xf>
    <xf numFmtId="0" fontId="6" fillId="0" borderId="0" xfId="0" applyFont="1" applyBorder="1" applyAlignment="1">
      <alignment horizontal="right"/>
    </xf>
    <xf numFmtId="0" fontId="3" fillId="0" borderId="5" xfId="0" applyFont="1" applyBorder="1" applyAlignment="1">
      <alignment horizontal="right"/>
    </xf>
    <xf numFmtId="49" fontId="3" fillId="0" borderId="0" xfId="0" applyNumberFormat="1" applyFont="1" applyBorder="1" applyAlignment="1">
      <alignment horizontal="right"/>
    </xf>
    <xf numFmtId="49" fontId="3" fillId="0" borderId="11" xfId="0" applyNumberFormat="1" applyFont="1" applyBorder="1" applyAlignment="1">
      <alignment horizontal="right"/>
    </xf>
    <xf numFmtId="49" fontId="6" fillId="0" borderId="5" xfId="0" applyNumberFormat="1" applyFont="1" applyFill="1" applyBorder="1" applyAlignment="1" applyProtection="1">
      <alignment horizontal="right"/>
      <protection locked="0"/>
    </xf>
    <xf numFmtId="49" fontId="9" fillId="0" borderId="0" xfId="0" applyNumberFormat="1" applyFont="1" applyFill="1" applyBorder="1" applyAlignment="1" applyProtection="1">
      <alignment horizontal="center"/>
      <protection locked="0"/>
    </xf>
    <xf numFmtId="5" fontId="3" fillId="0" borderId="0" xfId="0" applyNumberFormat="1" applyFont="1" applyAlignment="1">
      <alignment horizontal="right"/>
    </xf>
    <xf numFmtId="0" fontId="3" fillId="0" borderId="0" xfId="0" applyFont="1" applyAlignment="1">
      <alignment horizontal="right"/>
    </xf>
    <xf numFmtId="5" fontId="3" fillId="0" borderId="0" xfId="0" applyNumberFormat="1" applyFont="1"/>
    <xf numFmtId="49" fontId="9" fillId="0" borderId="10" xfId="0" applyNumberFormat="1" applyFont="1" applyFill="1" applyBorder="1" applyAlignment="1" applyProtection="1">
      <alignment horizontal="right"/>
      <protection locked="0"/>
    </xf>
    <xf numFmtId="49" fontId="9" fillId="0" borderId="0" xfId="0" applyNumberFormat="1" applyFont="1" applyFill="1" applyBorder="1" applyAlignment="1" applyProtection="1">
      <alignment horizontal="right"/>
      <protection locked="0"/>
    </xf>
    <xf numFmtId="49" fontId="6" fillId="0" borderId="15" xfId="0" applyNumberFormat="1" applyFont="1" applyFill="1" applyBorder="1" applyAlignment="1" applyProtection="1">
      <alignment horizontal="right"/>
      <protection locked="0"/>
    </xf>
    <xf numFmtId="49" fontId="9" fillId="0" borderId="0" xfId="0" applyNumberFormat="1" applyFont="1" applyFill="1" applyBorder="1" applyAlignment="1" applyProtection="1">
      <protection locked="0"/>
    </xf>
    <xf numFmtId="49" fontId="9" fillId="0" borderId="11" xfId="0" applyNumberFormat="1" applyFont="1" applyFill="1" applyBorder="1" applyAlignment="1" applyProtection="1">
      <protection locked="0"/>
    </xf>
    <xf numFmtId="49" fontId="6" fillId="0" borderId="5" xfId="0" applyNumberFormat="1" applyFont="1" applyFill="1" applyBorder="1" applyAlignment="1" applyProtection="1">
      <protection locked="0"/>
    </xf>
    <xf numFmtId="49" fontId="6" fillId="0" borderId="16" xfId="0" applyNumberFormat="1" applyFont="1" applyFill="1" applyBorder="1" applyAlignment="1" applyProtection="1">
      <protection locked="0"/>
    </xf>
    <xf numFmtId="3" fontId="5" fillId="0" borderId="15" xfId="0" applyNumberFormat="1" applyFont="1" applyFill="1" applyBorder="1" applyAlignment="1" applyProtection="1">
      <alignment horizontal="right"/>
      <protection locked="0"/>
    </xf>
    <xf numFmtId="3" fontId="5" fillId="0" borderId="5" xfId="0" applyNumberFormat="1" applyFont="1" applyFill="1" applyBorder="1" applyAlignment="1" applyProtection="1">
      <alignment horizontal="right"/>
      <protection locked="0"/>
    </xf>
    <xf numFmtId="3" fontId="5" fillId="0" borderId="16" xfId="0" applyNumberFormat="1" applyFont="1" applyFill="1" applyBorder="1" applyAlignment="1" applyProtection="1">
      <alignment horizontal="right"/>
      <protection locked="0"/>
    </xf>
    <xf numFmtId="3" fontId="5" fillId="0" borderId="0" xfId="0" applyNumberFormat="1" applyFont="1" applyFill="1" applyBorder="1" applyAlignment="1" applyProtection="1">
      <alignment horizontal="right"/>
      <protection locked="0"/>
    </xf>
    <xf numFmtId="3" fontId="5" fillId="0" borderId="11" xfId="0" applyNumberFormat="1" applyFont="1" applyFill="1" applyBorder="1" applyAlignment="1" applyProtection="1">
      <alignment horizontal="right"/>
      <protection locked="0"/>
    </xf>
    <xf numFmtId="3" fontId="10" fillId="0" borderId="10" xfId="0" applyNumberFormat="1" applyFont="1" applyFill="1" applyBorder="1" applyAlignment="1" applyProtection="1">
      <alignment horizontal="right"/>
      <protection locked="0"/>
    </xf>
    <xf numFmtId="3" fontId="10" fillId="0" borderId="0" xfId="0" applyNumberFormat="1" applyFont="1" applyFill="1" applyBorder="1" applyAlignment="1" applyProtection="1">
      <alignment horizontal="right"/>
      <protection locked="0"/>
    </xf>
    <xf numFmtId="3" fontId="10" fillId="0" borderId="11" xfId="0" applyNumberFormat="1" applyFont="1" applyFill="1" applyBorder="1" applyAlignment="1" applyProtection="1">
      <alignment horizontal="right"/>
      <protection locked="0"/>
    </xf>
    <xf numFmtId="3" fontId="5" fillId="0" borderId="10" xfId="0" applyNumberFormat="1" applyFont="1" applyBorder="1" applyAlignment="1" applyProtection="1">
      <alignment horizontal="right"/>
      <protection locked="0"/>
    </xf>
    <xf numFmtId="3" fontId="5" fillId="0" borderId="0" xfId="0" applyNumberFormat="1" applyFont="1" applyBorder="1" applyAlignment="1" applyProtection="1">
      <alignment horizontal="right"/>
      <protection locked="0"/>
    </xf>
    <xf numFmtId="3" fontId="5" fillId="0" borderId="11" xfId="0" applyNumberFormat="1" applyFont="1" applyBorder="1" applyAlignment="1" applyProtection="1">
      <alignment horizontal="right"/>
      <protection locked="0"/>
    </xf>
    <xf numFmtId="3" fontId="5" fillId="0" borderId="10" xfId="0" applyNumberFormat="1" applyFont="1" applyFill="1" applyBorder="1" applyAlignment="1" applyProtection="1">
      <alignment horizontal="right"/>
      <protection hidden="1"/>
    </xf>
    <xf numFmtId="3" fontId="5" fillId="0" borderId="10" xfId="0" applyNumberFormat="1" applyFont="1" applyBorder="1" applyAlignment="1" applyProtection="1">
      <alignment horizontal="right"/>
      <protection hidden="1"/>
    </xf>
  </cellXfs>
  <cellStyles count="14">
    <cellStyle name="ハイパーリンク" xfId="1" builtinId="8"/>
    <cellStyle name="標準" xfId="0" builtinId="0"/>
    <cellStyle name="表示済みのハイパーリンク" xfId="2" builtinId="9" hidden="1"/>
    <cellStyle name="表示済みのハイパーリンク" xfId="3" builtinId="9" hidden="1"/>
    <cellStyle name="表示済みのハイパーリンク" xfId="4" builtinId="9" hidden="1"/>
    <cellStyle name="表示済みのハイパーリンク" xfId="5" builtinId="9" hidden="1"/>
    <cellStyle name="表示済みのハイパーリンク" xfId="6" builtinId="9" hidden="1"/>
    <cellStyle name="表示済みのハイパーリンク" xfId="7" builtinId="9" hidden="1"/>
    <cellStyle name="表示済みのハイパーリンク" xfId="8" builtinId="9" hidden="1"/>
    <cellStyle name="表示済みのハイパーリンク" xfId="9" builtinId="9" hidden="1"/>
    <cellStyle name="表示済みのハイパーリンク" xfId="10" builtinId="9" hidden="1"/>
    <cellStyle name="表示済みのハイパーリンク" xfId="11" builtinId="9" hidden="1"/>
    <cellStyle name="表示済みのハイパーリンク" xfId="12" builtinId="9" hidden="1"/>
    <cellStyle name="表示済みのハイパーリンク" xfId="13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ouriro24@gmail.com" TargetMode="External"/><Relationship Id="rId2" Type="http://schemas.openxmlformats.org/officeDocument/2006/relationships/vmlDrawing" Target="../drawings/vmlDrawing1.vml"/><Relationship Id="rId3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AL46"/>
  <sheetViews>
    <sheetView showZeros="0" tabSelected="1" topLeftCell="A6" zoomScale="151" zoomScaleNormal="151" zoomScalePageLayoutView="151" workbookViewId="0">
      <selection activeCell="AD8" sqref="AD8"/>
    </sheetView>
  </sheetViews>
  <sheetFormatPr baseColWidth="12" defaultColWidth="3.6640625" defaultRowHeight="22.5" customHeight="1" x14ac:dyDescent="0"/>
  <cols>
    <col min="1" max="1" width="1.83203125" style="1" customWidth="1"/>
    <col min="2" max="16384" width="3.6640625" style="1"/>
  </cols>
  <sheetData>
    <row r="1" spans="1:26" ht="22.5" customHeight="1">
      <c r="B1" s="38" t="s">
        <v>3</v>
      </c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</row>
    <row r="2" spans="1:26" ht="15" customHeight="1">
      <c r="A2" s="1">
        <v>0</v>
      </c>
      <c r="S2" s="42" t="s">
        <v>18</v>
      </c>
      <c r="T2" s="42"/>
      <c r="U2" s="42"/>
      <c r="V2" s="55">
        <v>41783</v>
      </c>
      <c r="W2" s="55"/>
      <c r="X2" s="55"/>
      <c r="Y2" s="55"/>
      <c r="Z2" s="55"/>
    </row>
    <row r="3" spans="1:26" ht="15" customHeight="1">
      <c r="T3" s="42" t="s">
        <v>14</v>
      </c>
      <c r="U3" s="42"/>
      <c r="V3" s="56">
        <v>26052401</v>
      </c>
      <c r="W3" s="56"/>
      <c r="X3" s="56"/>
      <c r="Y3" s="56"/>
      <c r="Z3" s="56"/>
    </row>
    <row r="4" spans="1:26" ht="22.5" customHeight="1">
      <c r="B4" s="57" t="s">
        <v>23</v>
      </c>
      <c r="C4" s="57"/>
      <c r="D4" s="57"/>
      <c r="E4" s="57"/>
      <c r="F4" s="57"/>
      <c r="G4" s="57"/>
      <c r="H4" s="57"/>
      <c r="I4" s="57"/>
      <c r="J4" s="57"/>
      <c r="K4" s="57"/>
      <c r="L4" s="57"/>
      <c r="M4" s="61" t="s">
        <v>2</v>
      </c>
      <c r="N4" s="61"/>
      <c r="O4" s="2"/>
      <c r="P4" s="2"/>
      <c r="Q4" s="3"/>
      <c r="R4" s="3"/>
      <c r="S4" s="3"/>
      <c r="T4" s="4"/>
      <c r="U4" s="4"/>
      <c r="V4" s="4"/>
      <c r="W4" s="4"/>
      <c r="X4" s="4"/>
      <c r="Y4" s="4"/>
      <c r="Z4" s="4"/>
    </row>
    <row r="5" spans="1:26" ht="15" customHeight="1">
      <c r="Q5" s="5"/>
      <c r="R5" s="5"/>
      <c r="S5" s="5"/>
      <c r="T5" s="3"/>
      <c r="U5" s="3"/>
      <c r="V5" s="3"/>
      <c r="W5" s="3"/>
      <c r="X5" s="3"/>
      <c r="Y5" s="3"/>
      <c r="Z5" s="3"/>
    </row>
    <row r="6" spans="1:26" ht="22.5" customHeight="1">
      <c r="B6" s="62" t="s">
        <v>4</v>
      </c>
      <c r="C6" s="62"/>
      <c r="D6" s="57" t="s">
        <v>39</v>
      </c>
      <c r="E6" s="57"/>
      <c r="F6" s="57"/>
      <c r="G6" s="57"/>
      <c r="H6" s="57"/>
      <c r="I6" s="57"/>
      <c r="J6" s="57"/>
      <c r="K6" s="57"/>
      <c r="L6" s="57"/>
      <c r="M6" s="57"/>
      <c r="N6" s="57"/>
      <c r="T6"/>
    </row>
    <row r="7" spans="1:26" ht="22.5" customHeight="1">
      <c r="P7" s="39" t="s">
        <v>24</v>
      </c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1:26" ht="15" customHeight="1">
      <c r="B8" s="39" t="s">
        <v>7</v>
      </c>
      <c r="C8" s="39"/>
      <c r="D8" s="39"/>
      <c r="E8" s="39"/>
      <c r="F8" s="39"/>
      <c r="G8" s="39"/>
      <c r="H8" s="39"/>
      <c r="I8" s="39"/>
      <c r="J8" s="39"/>
      <c r="K8" s="39"/>
      <c r="L8" s="39"/>
      <c r="M8" s="39"/>
      <c r="N8" s="39"/>
      <c r="P8" s="41" t="s">
        <v>17</v>
      </c>
      <c r="Q8" s="41"/>
      <c r="R8" s="40" t="s">
        <v>57</v>
      </c>
      <c r="S8" s="40"/>
      <c r="T8" s="40"/>
      <c r="U8" s="40"/>
      <c r="V8" s="40"/>
      <c r="W8" s="40"/>
      <c r="X8" s="40"/>
      <c r="Y8" s="40"/>
      <c r="Z8" s="40"/>
    </row>
    <row r="9" spans="1:26" ht="15" customHeight="1">
      <c r="B9" s="58" t="s">
        <v>8</v>
      </c>
      <c r="C9" s="58"/>
      <c r="D9" s="58"/>
      <c r="E9" s="58"/>
      <c r="F9" s="63">
        <f>X33</f>
        <v>123000</v>
      </c>
      <c r="G9" s="63"/>
      <c r="H9" s="63"/>
      <c r="I9" s="63"/>
      <c r="J9" s="63"/>
      <c r="K9" s="6"/>
      <c r="P9" s="43" t="s">
        <v>5</v>
      </c>
      <c r="Q9" s="43"/>
      <c r="R9" s="40" t="s">
        <v>58</v>
      </c>
      <c r="S9" s="40"/>
      <c r="T9" s="40"/>
      <c r="U9" s="40"/>
      <c r="V9" s="40"/>
      <c r="W9" s="40"/>
      <c r="X9" s="40"/>
      <c r="Y9" s="40"/>
      <c r="Z9" s="40"/>
    </row>
    <row r="10" spans="1:26" ht="15" customHeight="1">
      <c r="B10" s="59"/>
      <c r="C10" s="59"/>
      <c r="D10" s="59"/>
      <c r="E10" s="59"/>
      <c r="F10" s="64"/>
      <c r="G10" s="64"/>
      <c r="H10" s="64"/>
      <c r="I10" s="64"/>
      <c r="J10" s="64"/>
      <c r="K10" s="20" t="s">
        <v>22</v>
      </c>
      <c r="P10" s="50"/>
      <c r="Q10" s="50"/>
      <c r="R10" s="40"/>
      <c r="S10" s="40"/>
      <c r="T10" s="40"/>
      <c r="U10" s="40"/>
      <c r="V10" s="40"/>
      <c r="W10" s="40"/>
      <c r="X10" s="40"/>
      <c r="Y10" s="40"/>
      <c r="Z10" s="40"/>
    </row>
    <row r="11" spans="1:26" ht="15" customHeight="1">
      <c r="D11" s="7"/>
      <c r="E11" s="7"/>
      <c r="F11" s="60" t="s">
        <v>19</v>
      </c>
      <c r="G11" s="60"/>
      <c r="H11" s="60"/>
      <c r="I11" s="73">
        <f>X35</f>
        <v>9840</v>
      </c>
      <c r="J11" s="73"/>
      <c r="P11" s="43" t="s">
        <v>6</v>
      </c>
      <c r="Q11" s="43"/>
      <c r="R11" s="40" t="s">
        <v>26</v>
      </c>
      <c r="S11" s="40"/>
      <c r="T11" s="40"/>
      <c r="U11" s="40"/>
      <c r="V11" s="65"/>
      <c r="W11" s="65"/>
      <c r="X11" s="40"/>
      <c r="Y11" s="40"/>
      <c r="Z11" s="40"/>
    </row>
    <row r="12" spans="1:26" ht="15" customHeight="1">
      <c r="P12" s="41" t="s">
        <v>16</v>
      </c>
      <c r="Q12" s="41"/>
      <c r="R12" s="66" t="s">
        <v>25</v>
      </c>
      <c r="S12" s="40"/>
      <c r="T12" s="40"/>
      <c r="U12" s="40"/>
      <c r="V12" s="40"/>
      <c r="W12" s="40"/>
      <c r="X12" s="40"/>
      <c r="Y12" s="40"/>
      <c r="Z12" s="40"/>
    </row>
    <row r="13" spans="1:26" ht="15" customHeight="1"/>
    <row r="14" spans="1:26" ht="18.75" customHeight="1">
      <c r="B14" s="18" t="s">
        <v>15</v>
      </c>
      <c r="C14" s="71" t="s">
        <v>29</v>
      </c>
      <c r="D14" s="69"/>
      <c r="E14" s="69"/>
      <c r="F14" s="69"/>
      <c r="G14" s="69" t="s">
        <v>28</v>
      </c>
      <c r="H14" s="69"/>
      <c r="I14" s="69"/>
      <c r="J14" s="69"/>
      <c r="K14" s="69"/>
      <c r="L14" s="69"/>
      <c r="M14" s="69"/>
      <c r="N14" s="69"/>
      <c r="O14" s="69"/>
      <c r="P14" s="70"/>
      <c r="Q14" s="51" t="s">
        <v>9</v>
      </c>
      <c r="R14" s="52"/>
      <c r="S14" s="51" t="s">
        <v>10</v>
      </c>
      <c r="T14" s="52"/>
      <c r="U14" s="51" t="s">
        <v>12</v>
      </c>
      <c r="V14" s="72"/>
      <c r="W14" s="52"/>
      <c r="X14" s="72" t="s">
        <v>11</v>
      </c>
      <c r="Y14" s="72"/>
      <c r="Z14" s="52"/>
    </row>
    <row r="15" spans="1:26" ht="15" customHeight="1">
      <c r="B15" s="14"/>
      <c r="C15" s="53" t="s">
        <v>37</v>
      </c>
      <c r="D15" s="54"/>
      <c r="E15" s="54"/>
      <c r="F15" s="54"/>
      <c r="G15" s="74"/>
      <c r="H15" s="74"/>
      <c r="I15" s="74"/>
      <c r="J15" s="74"/>
      <c r="K15" s="74"/>
      <c r="L15" s="74"/>
      <c r="M15" s="74"/>
      <c r="N15" s="74"/>
      <c r="O15" s="74"/>
      <c r="P15" s="75"/>
      <c r="Q15" s="44"/>
      <c r="R15" s="45"/>
      <c r="S15" s="46"/>
      <c r="T15" s="46"/>
      <c r="U15" s="47"/>
      <c r="V15" s="48"/>
      <c r="W15" s="49"/>
      <c r="X15" s="67" t="str">
        <f>IF((Q15*U15)=0,"",Q15*U15)</f>
        <v/>
      </c>
      <c r="Y15" s="67"/>
      <c r="Z15" s="68"/>
    </row>
    <row r="16" spans="1:26" ht="15" customHeight="1">
      <c r="B16" s="16"/>
      <c r="C16" s="32"/>
      <c r="D16" s="33"/>
      <c r="E16" s="33"/>
      <c r="F16" s="33"/>
      <c r="G16" s="34" t="s">
        <v>31</v>
      </c>
      <c r="H16" s="34"/>
      <c r="I16" s="34"/>
      <c r="J16" s="34"/>
      <c r="K16" s="34"/>
      <c r="L16" s="34"/>
      <c r="M16" s="34"/>
      <c r="N16" s="34"/>
      <c r="O16" s="34"/>
      <c r="P16" s="35"/>
      <c r="Q16" s="27">
        <v>1</v>
      </c>
      <c r="R16" s="28"/>
      <c r="S16" s="29" t="s">
        <v>27</v>
      </c>
      <c r="T16" s="29"/>
      <c r="U16" s="93">
        <v>30000</v>
      </c>
      <c r="V16" s="146"/>
      <c r="W16" s="147"/>
      <c r="X16" s="154">
        <f t="shared" ref="X16:X23" si="0">IF((Q16*U16)=0,"",Q16*U16)</f>
        <v>30000</v>
      </c>
      <c r="Y16" s="89"/>
      <c r="Z16" s="90"/>
    </row>
    <row r="17" spans="2:38" ht="15" customHeight="1">
      <c r="B17" s="15"/>
      <c r="C17" s="23"/>
      <c r="D17" s="24"/>
      <c r="E17" s="24"/>
      <c r="F17" s="24"/>
      <c r="G17" s="36" t="s">
        <v>44</v>
      </c>
      <c r="H17" s="36"/>
      <c r="I17" s="36"/>
      <c r="J17" s="36"/>
      <c r="K17" s="36"/>
      <c r="L17" s="36"/>
      <c r="M17" s="36"/>
      <c r="N17" s="36"/>
      <c r="O17" s="36"/>
      <c r="P17" s="37"/>
      <c r="Q17" s="25">
        <v>1</v>
      </c>
      <c r="R17" s="26"/>
      <c r="S17" s="30" t="s">
        <v>30</v>
      </c>
      <c r="T17" s="31"/>
      <c r="U17" s="151">
        <v>3000</v>
      </c>
      <c r="V17" s="152"/>
      <c r="W17" s="153"/>
      <c r="X17" s="155">
        <f t="shared" si="0"/>
        <v>3000</v>
      </c>
      <c r="Y17" s="91"/>
      <c r="Z17" s="92"/>
    </row>
    <row r="18" spans="2:38" ht="15" customHeight="1">
      <c r="B18" s="16"/>
      <c r="C18" s="32"/>
      <c r="D18" s="33"/>
      <c r="E18" s="33"/>
      <c r="F18" s="33"/>
      <c r="G18" s="34" t="s">
        <v>33</v>
      </c>
      <c r="H18" s="34"/>
      <c r="I18" s="34"/>
      <c r="J18" s="34"/>
      <c r="K18" s="34"/>
      <c r="L18" s="34"/>
      <c r="M18" s="34"/>
      <c r="N18" s="34"/>
      <c r="O18" s="34"/>
      <c r="P18" s="35"/>
      <c r="Q18" s="27">
        <v>1</v>
      </c>
      <c r="R18" s="28"/>
      <c r="S18" s="29" t="s">
        <v>27</v>
      </c>
      <c r="T18" s="29"/>
      <c r="U18" s="93">
        <v>40000</v>
      </c>
      <c r="V18" s="146"/>
      <c r="W18" s="147"/>
      <c r="X18" s="154">
        <f t="shared" si="0"/>
        <v>40000</v>
      </c>
      <c r="Y18" s="89"/>
      <c r="Z18" s="90"/>
    </row>
    <row r="19" spans="2:38" ht="15" customHeight="1">
      <c r="B19" s="15"/>
      <c r="C19" s="23"/>
      <c r="D19" s="24"/>
      <c r="E19" s="24"/>
      <c r="F19" s="24"/>
      <c r="G19" s="36" t="s">
        <v>32</v>
      </c>
      <c r="H19" s="36"/>
      <c r="I19" s="36"/>
      <c r="J19" s="36"/>
      <c r="K19" s="36"/>
      <c r="L19" s="36"/>
      <c r="M19" s="36"/>
      <c r="N19" s="36"/>
      <c r="O19" s="36"/>
      <c r="P19" s="37"/>
      <c r="Q19" s="25">
        <v>1</v>
      </c>
      <c r="R19" s="26"/>
      <c r="S19" s="46" t="s">
        <v>27</v>
      </c>
      <c r="T19" s="46"/>
      <c r="U19" s="151">
        <v>20000</v>
      </c>
      <c r="V19" s="152"/>
      <c r="W19" s="153"/>
      <c r="X19" s="91">
        <f t="shared" si="0"/>
        <v>20000</v>
      </c>
      <c r="Y19" s="91"/>
      <c r="Z19" s="92"/>
    </row>
    <row r="20" spans="2:38" ht="15" customHeight="1">
      <c r="B20" s="16"/>
      <c r="C20" s="32"/>
      <c r="D20" s="33"/>
      <c r="E20" s="33"/>
      <c r="F20" s="33"/>
      <c r="G20" s="34" t="s">
        <v>34</v>
      </c>
      <c r="H20" s="34"/>
      <c r="I20" s="34"/>
      <c r="J20" s="34"/>
      <c r="K20" s="34"/>
      <c r="L20" s="34"/>
      <c r="M20" s="34"/>
      <c r="N20" s="34"/>
      <c r="O20" s="34"/>
      <c r="P20" s="35"/>
      <c r="Q20" s="27">
        <v>1</v>
      </c>
      <c r="R20" s="28"/>
      <c r="S20" s="29" t="s">
        <v>27</v>
      </c>
      <c r="T20" s="29"/>
      <c r="U20" s="93">
        <v>15000</v>
      </c>
      <c r="V20" s="146"/>
      <c r="W20" s="147"/>
      <c r="X20" s="154">
        <f t="shared" si="0"/>
        <v>15000</v>
      </c>
      <c r="Y20" s="89"/>
      <c r="Z20" s="90"/>
    </row>
    <row r="21" spans="2:38" ht="15" customHeight="1">
      <c r="B21" s="15"/>
      <c r="C21" s="23"/>
      <c r="D21" s="24"/>
      <c r="E21" s="24"/>
      <c r="F21" s="24"/>
      <c r="G21" s="36" t="s">
        <v>35</v>
      </c>
      <c r="H21" s="36"/>
      <c r="I21" s="36"/>
      <c r="J21" s="36"/>
      <c r="K21" s="36"/>
      <c r="L21" s="36"/>
      <c r="M21" s="36"/>
      <c r="N21" s="36"/>
      <c r="O21" s="36"/>
      <c r="P21" s="37"/>
      <c r="Q21" s="25">
        <v>1</v>
      </c>
      <c r="R21" s="26"/>
      <c r="S21" s="46" t="s">
        <v>27</v>
      </c>
      <c r="T21" s="46"/>
      <c r="U21" s="151">
        <v>5000</v>
      </c>
      <c r="V21" s="152"/>
      <c r="W21" s="153"/>
      <c r="X21" s="91">
        <f t="shared" si="0"/>
        <v>5000</v>
      </c>
      <c r="Y21" s="91"/>
      <c r="Z21" s="92"/>
    </row>
    <row r="22" spans="2:38" ht="15" customHeight="1">
      <c r="B22" s="15"/>
      <c r="C22" s="23" t="s">
        <v>36</v>
      </c>
      <c r="D22" s="24"/>
      <c r="E22" s="24"/>
      <c r="F22" s="24"/>
      <c r="G22" s="36"/>
      <c r="H22" s="36"/>
      <c r="I22" s="36"/>
      <c r="J22" s="36"/>
      <c r="K22" s="36"/>
      <c r="L22" s="36"/>
      <c r="M22" s="36"/>
      <c r="N22" s="36"/>
      <c r="O22" s="36"/>
      <c r="P22" s="37"/>
      <c r="Q22" s="25"/>
      <c r="R22" s="26"/>
      <c r="S22" s="46"/>
      <c r="T22" s="46"/>
      <c r="U22" s="151"/>
      <c r="V22" s="152"/>
      <c r="W22" s="153"/>
      <c r="X22" s="91" t="str">
        <f t="shared" si="0"/>
        <v/>
      </c>
      <c r="Y22" s="91"/>
      <c r="Z22" s="92"/>
    </row>
    <row r="23" spans="2:38" ht="15" customHeight="1">
      <c r="B23" s="16"/>
      <c r="C23" s="32"/>
      <c r="D23" s="33"/>
      <c r="E23" s="33"/>
      <c r="F23" s="33"/>
      <c r="G23" s="34" t="s">
        <v>38</v>
      </c>
      <c r="H23" s="34"/>
      <c r="I23" s="34"/>
      <c r="J23" s="34"/>
      <c r="K23" s="34"/>
      <c r="L23" s="34"/>
      <c r="M23" s="34"/>
      <c r="N23" s="34"/>
      <c r="O23" s="34"/>
      <c r="P23" s="35"/>
      <c r="Q23" s="27">
        <v>1</v>
      </c>
      <c r="R23" s="28"/>
      <c r="S23" s="29" t="s">
        <v>27</v>
      </c>
      <c r="T23" s="29"/>
      <c r="U23" s="93">
        <v>10000</v>
      </c>
      <c r="V23" s="146"/>
      <c r="W23" s="147"/>
      <c r="X23" s="154">
        <f t="shared" si="0"/>
        <v>10000</v>
      </c>
      <c r="Y23" s="89"/>
      <c r="Z23" s="90"/>
    </row>
    <row r="24" spans="2:38" ht="15" customHeight="1">
      <c r="B24" s="16"/>
      <c r="C24" s="32"/>
      <c r="D24" s="33"/>
      <c r="E24" s="33"/>
      <c r="F24" s="33"/>
      <c r="G24" s="34"/>
      <c r="H24" s="34"/>
      <c r="I24" s="34"/>
      <c r="J24" s="34"/>
      <c r="K24" s="34"/>
      <c r="L24" s="34"/>
      <c r="M24" s="34"/>
      <c r="N24" s="34"/>
      <c r="O24" s="34"/>
      <c r="P24" s="35"/>
      <c r="Q24" s="27"/>
      <c r="R24" s="76"/>
      <c r="S24" s="87"/>
      <c r="T24" s="88"/>
      <c r="U24" s="93"/>
      <c r="V24" s="94"/>
      <c r="W24" s="95"/>
      <c r="X24" s="89" t="str">
        <f t="shared" ref="X24:X32" si="1">IF((Q24*U24)=0,"",Q24*U24)</f>
        <v/>
      </c>
      <c r="Y24" s="89"/>
      <c r="Z24" s="90"/>
    </row>
    <row r="25" spans="2:38" ht="15" customHeight="1">
      <c r="B25" s="16"/>
      <c r="C25" s="32"/>
      <c r="D25" s="33"/>
      <c r="E25" s="33"/>
      <c r="F25" s="33"/>
      <c r="G25" s="34"/>
      <c r="H25" s="34"/>
      <c r="I25" s="34"/>
      <c r="J25" s="34"/>
      <c r="K25" s="34"/>
      <c r="L25" s="34"/>
      <c r="M25" s="34"/>
      <c r="N25" s="34"/>
      <c r="O25" s="34"/>
      <c r="P25" s="35"/>
      <c r="Q25" s="27"/>
      <c r="R25" s="77"/>
      <c r="S25" s="87"/>
      <c r="T25" s="88"/>
      <c r="U25" s="93"/>
      <c r="V25" s="96"/>
      <c r="W25" s="97"/>
      <c r="X25" s="91" t="str">
        <f t="shared" si="1"/>
        <v/>
      </c>
      <c r="Y25" s="91"/>
      <c r="Z25" s="92"/>
    </row>
    <row r="26" spans="2:38" ht="15" customHeight="1">
      <c r="B26" s="16"/>
      <c r="C26" s="32"/>
      <c r="D26" s="33"/>
      <c r="E26" s="33"/>
      <c r="F26" s="33"/>
      <c r="G26" s="34"/>
      <c r="H26" s="34"/>
      <c r="I26" s="34"/>
      <c r="J26" s="34"/>
      <c r="K26" s="34"/>
      <c r="L26" s="34"/>
      <c r="M26" s="34"/>
      <c r="N26" s="34"/>
      <c r="O26" s="34"/>
      <c r="P26" s="35"/>
      <c r="Q26" s="27"/>
      <c r="R26" s="76"/>
      <c r="S26" s="87"/>
      <c r="T26" s="88"/>
      <c r="U26" s="93"/>
      <c r="V26" s="94"/>
      <c r="W26" s="95"/>
      <c r="X26" s="89" t="str">
        <f t="shared" si="1"/>
        <v/>
      </c>
      <c r="Y26" s="89"/>
      <c r="Z26" s="90"/>
      <c r="AC26" s="21"/>
      <c r="AD26" s="134" t="s">
        <v>42</v>
      </c>
      <c r="AE26" s="134"/>
      <c r="AF26" s="134"/>
      <c r="AG26" s="134"/>
      <c r="AH26" s="133">
        <v>50000</v>
      </c>
      <c r="AI26" s="133"/>
      <c r="AJ26" s="133"/>
      <c r="AK26" s="133"/>
      <c r="AL26" s="133"/>
    </row>
    <row r="27" spans="2:38" ht="15" customHeight="1">
      <c r="B27" s="16"/>
      <c r="C27" s="32"/>
      <c r="D27" s="33"/>
      <c r="E27" s="33"/>
      <c r="F27" s="33"/>
      <c r="G27" s="34"/>
      <c r="H27" s="34"/>
      <c r="I27" s="34"/>
      <c r="J27" s="34"/>
      <c r="K27" s="34"/>
      <c r="L27" s="34"/>
      <c r="M27" s="34"/>
      <c r="N27" s="34"/>
      <c r="O27" s="34"/>
      <c r="P27" s="35"/>
      <c r="Q27" s="27"/>
      <c r="R27" s="77"/>
      <c r="S27" s="87"/>
      <c r="T27" s="88"/>
      <c r="U27" s="93"/>
      <c r="V27" s="96"/>
      <c r="W27" s="97"/>
      <c r="X27" s="91" t="str">
        <f t="shared" si="1"/>
        <v/>
      </c>
      <c r="Y27" s="91"/>
      <c r="Z27" s="92"/>
      <c r="AC27" s="21"/>
      <c r="AD27" s="134" t="s">
        <v>43</v>
      </c>
      <c r="AE27" s="134"/>
      <c r="AF27" s="134"/>
      <c r="AG27" s="134"/>
      <c r="AH27" s="133">
        <v>44840</v>
      </c>
      <c r="AI27" s="133"/>
      <c r="AJ27" s="133"/>
      <c r="AK27" s="133"/>
      <c r="AL27" s="133"/>
    </row>
    <row r="28" spans="2:38" ht="15" customHeight="1">
      <c r="B28" s="16"/>
      <c r="C28" s="32"/>
      <c r="D28" s="33"/>
      <c r="E28" s="33"/>
      <c r="F28" s="33"/>
      <c r="G28" s="34"/>
      <c r="H28" s="34"/>
      <c r="I28" s="34"/>
      <c r="J28" s="34"/>
      <c r="K28" s="34"/>
      <c r="L28" s="34"/>
      <c r="M28" s="34"/>
      <c r="N28" s="34"/>
      <c r="O28" s="34"/>
      <c r="P28" s="35"/>
      <c r="Q28" s="27"/>
      <c r="R28" s="28"/>
      <c r="S28" s="29"/>
      <c r="T28" s="29"/>
      <c r="U28" s="93"/>
      <c r="V28" s="146"/>
      <c r="W28" s="147"/>
      <c r="X28" s="89" t="str">
        <f>IF((Q28*U28)=0,"",Q28*U28)</f>
        <v/>
      </c>
      <c r="Y28" s="89"/>
      <c r="Z28" s="90"/>
      <c r="AC28" s="21"/>
      <c r="AD28" s="134" t="s">
        <v>40</v>
      </c>
      <c r="AE28" s="134"/>
      <c r="AF28" s="134"/>
      <c r="AG28" s="134"/>
      <c r="AH28" s="135">
        <v>20000</v>
      </c>
      <c r="AI28" s="135"/>
      <c r="AJ28" s="135"/>
      <c r="AK28" s="135"/>
      <c r="AL28" s="135"/>
    </row>
    <row r="29" spans="2:38" ht="15" customHeight="1">
      <c r="B29" s="16"/>
      <c r="C29" s="32"/>
      <c r="D29" s="33"/>
      <c r="E29" s="33"/>
      <c r="F29" s="33"/>
      <c r="G29" s="34"/>
      <c r="H29" s="34"/>
      <c r="I29" s="34"/>
      <c r="J29" s="34"/>
      <c r="K29" s="34"/>
      <c r="L29" s="34"/>
      <c r="M29" s="34"/>
      <c r="N29" s="34"/>
      <c r="O29" s="34"/>
      <c r="P29" s="35"/>
      <c r="Q29" s="27"/>
      <c r="R29" s="77"/>
      <c r="S29" s="87"/>
      <c r="T29" s="88"/>
      <c r="U29" s="93"/>
      <c r="V29" s="96"/>
      <c r="W29" s="97"/>
      <c r="X29" s="89" t="str">
        <f>IF((Q29*U29)=0,"",Q29*U29)</f>
        <v/>
      </c>
      <c r="Y29" s="89"/>
      <c r="Z29" s="90"/>
      <c r="AC29" s="21"/>
      <c r="AD29" s="22"/>
      <c r="AE29" s="22"/>
      <c r="AF29" s="22"/>
      <c r="AG29" s="22" t="s">
        <v>45</v>
      </c>
      <c r="AH29" s="135">
        <v>3000</v>
      </c>
      <c r="AI29" s="135"/>
      <c r="AJ29" s="135"/>
      <c r="AK29" s="135"/>
      <c r="AL29" s="135"/>
    </row>
    <row r="30" spans="2:38" ht="15" customHeight="1">
      <c r="B30" s="16"/>
      <c r="C30" s="32"/>
      <c r="D30" s="33"/>
      <c r="E30" s="33"/>
      <c r="F30" s="33"/>
      <c r="G30" s="34"/>
      <c r="H30" s="34"/>
      <c r="I30" s="34"/>
      <c r="J30" s="34"/>
      <c r="K30" s="34"/>
      <c r="L30" s="34"/>
      <c r="M30" s="34"/>
      <c r="N30" s="34"/>
      <c r="O30" s="34"/>
      <c r="P30" s="35"/>
      <c r="Q30" s="27"/>
      <c r="R30" s="28"/>
      <c r="S30" s="87"/>
      <c r="T30" s="88"/>
      <c r="U30" s="93"/>
      <c r="V30" s="94"/>
      <c r="W30" s="95"/>
      <c r="X30" s="89" t="str">
        <f>IF((Q30*U30)=0,"",Q30*U30)</f>
        <v/>
      </c>
      <c r="Y30" s="89"/>
      <c r="Z30" s="90"/>
      <c r="AC30" s="21"/>
      <c r="AD30" s="134"/>
      <c r="AE30" s="134"/>
      <c r="AF30" s="134"/>
      <c r="AG30" s="134"/>
      <c r="AH30" s="135"/>
      <c r="AI30" s="135"/>
      <c r="AJ30" s="135"/>
      <c r="AK30" s="135"/>
      <c r="AL30" s="135"/>
    </row>
    <row r="31" spans="2:38" ht="15" customHeight="1">
      <c r="B31" s="17"/>
      <c r="C31" s="136"/>
      <c r="D31" s="137"/>
      <c r="E31" s="137"/>
      <c r="F31" s="137"/>
      <c r="G31" s="139"/>
      <c r="H31" s="139"/>
      <c r="I31" s="139"/>
      <c r="J31" s="139"/>
      <c r="K31" s="139"/>
      <c r="L31" s="139"/>
      <c r="M31" s="139"/>
      <c r="N31" s="139"/>
      <c r="O31" s="139"/>
      <c r="P31" s="140"/>
      <c r="Q31" s="98"/>
      <c r="R31" s="99"/>
      <c r="S31" s="132"/>
      <c r="T31" s="132"/>
      <c r="U31" s="148"/>
      <c r="V31" s="149"/>
      <c r="W31" s="150"/>
      <c r="X31" s="89" t="str">
        <f>IF((Q31*U31)=0,"",Q31*U31)</f>
        <v/>
      </c>
      <c r="Y31" s="89"/>
      <c r="Z31" s="90"/>
      <c r="AD31" s="22"/>
      <c r="AE31" s="22"/>
      <c r="AF31" s="22"/>
      <c r="AG31" s="22" t="s">
        <v>41</v>
      </c>
      <c r="AH31" s="133">
        <f>SUM(AH26:AL30)</f>
        <v>117840</v>
      </c>
      <c r="AI31" s="134"/>
      <c r="AJ31" s="134"/>
      <c r="AK31" s="134"/>
      <c r="AL31" s="134"/>
    </row>
    <row r="32" spans="2:38" ht="15" customHeight="1">
      <c r="B32" s="19"/>
      <c r="C32" s="138"/>
      <c r="D32" s="131"/>
      <c r="E32" s="131"/>
      <c r="F32" s="131"/>
      <c r="G32" s="141"/>
      <c r="H32" s="141"/>
      <c r="I32" s="141"/>
      <c r="J32" s="141"/>
      <c r="K32" s="141"/>
      <c r="L32" s="141"/>
      <c r="M32" s="141"/>
      <c r="N32" s="141"/>
      <c r="O32" s="141"/>
      <c r="P32" s="142"/>
      <c r="Q32" s="100"/>
      <c r="R32" s="101"/>
      <c r="S32" s="131"/>
      <c r="T32" s="131"/>
      <c r="U32" s="143"/>
      <c r="V32" s="144"/>
      <c r="W32" s="145"/>
      <c r="X32" s="89" t="str">
        <f t="shared" si="1"/>
        <v/>
      </c>
      <c r="Y32" s="89"/>
      <c r="Z32" s="90"/>
      <c r="AC32" s="21"/>
    </row>
    <row r="33" spans="2:27" ht="15" customHeight="1">
      <c r="B33" s="8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126" t="s">
        <v>0</v>
      </c>
      <c r="V33" s="126"/>
      <c r="W33" s="126"/>
      <c r="X33" s="117">
        <f>IF(SUM(X15:Z32)=0,"0",SUM(X15:Z32))</f>
        <v>123000</v>
      </c>
      <c r="Y33" s="118"/>
      <c r="Z33" s="119"/>
    </row>
    <row r="34" spans="2:27" ht="15" customHeight="1">
      <c r="B34" s="8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129" t="s">
        <v>20</v>
      </c>
      <c r="V34" s="129"/>
      <c r="W34" s="130"/>
      <c r="X34" s="114">
        <v>0.08</v>
      </c>
      <c r="Y34" s="115"/>
      <c r="Z34" s="116"/>
    </row>
    <row r="35" spans="2:27" ht="15" customHeight="1">
      <c r="B35" s="8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127" t="s">
        <v>21</v>
      </c>
      <c r="V35" s="126"/>
      <c r="W35" s="126"/>
      <c r="X35" s="120">
        <f>INT((X33*X34))/1</f>
        <v>9840</v>
      </c>
      <c r="Y35" s="121"/>
      <c r="Z35" s="122"/>
    </row>
    <row r="36" spans="2:27" ht="15" customHeight="1">
      <c r="B36" s="10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06" t="s">
        <v>1</v>
      </c>
      <c r="V36" s="128"/>
      <c r="W36" s="128"/>
      <c r="X36" s="123">
        <f>IF(X33="","",SUM(X33:Z35))</f>
        <v>132840.08000000002</v>
      </c>
      <c r="Y36" s="124"/>
      <c r="Z36" s="125"/>
      <c r="AA36" s="1" t="s">
        <v>56</v>
      </c>
    </row>
    <row r="37" spans="2:27" ht="7.5" customHeight="1"/>
    <row r="38" spans="2:27" ht="15" customHeight="1">
      <c r="B38" s="12" t="s">
        <v>13</v>
      </c>
      <c r="C38" s="13"/>
      <c r="D38" s="85"/>
      <c r="E38" s="85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  <c r="S38" s="85"/>
      <c r="T38" s="85"/>
      <c r="U38" s="85"/>
      <c r="V38" s="85"/>
      <c r="W38" s="85"/>
      <c r="X38" s="85"/>
      <c r="Y38" s="85"/>
      <c r="Z38" s="86"/>
    </row>
    <row r="39" spans="2:27" ht="15" customHeight="1">
      <c r="B39" s="111" t="s">
        <v>48</v>
      </c>
      <c r="C39" s="112"/>
      <c r="D39" s="112"/>
      <c r="E39" s="112"/>
      <c r="F39" s="112"/>
      <c r="G39" s="112"/>
      <c r="H39" s="112"/>
      <c r="I39" s="112"/>
      <c r="J39" s="112"/>
      <c r="K39" s="112"/>
      <c r="L39" s="112"/>
      <c r="M39" s="112"/>
      <c r="N39" s="112"/>
      <c r="O39" s="112"/>
      <c r="P39" s="112"/>
      <c r="Q39" s="112"/>
      <c r="R39" s="112"/>
      <c r="S39" s="112"/>
      <c r="T39" s="112"/>
      <c r="U39" s="112"/>
      <c r="V39" s="112"/>
      <c r="W39" s="112"/>
      <c r="X39" s="112"/>
      <c r="Y39" s="112"/>
      <c r="Z39" s="113"/>
    </row>
    <row r="40" spans="2:27" ht="15" customHeight="1">
      <c r="B40" s="111" t="s">
        <v>46</v>
      </c>
      <c r="C40" s="112"/>
      <c r="D40" s="112"/>
      <c r="E40" s="112"/>
      <c r="F40" s="112"/>
      <c r="G40" s="112"/>
      <c r="H40" s="112"/>
      <c r="I40" s="112"/>
      <c r="J40" s="112"/>
      <c r="K40" s="112"/>
      <c r="L40" s="112"/>
      <c r="M40" s="112"/>
      <c r="N40" s="112"/>
      <c r="O40" s="112"/>
      <c r="P40" s="112"/>
      <c r="Q40" s="112"/>
      <c r="R40" s="112"/>
      <c r="S40" s="112"/>
      <c r="T40" s="112"/>
      <c r="U40" s="112"/>
      <c r="V40" s="112"/>
      <c r="W40" s="112"/>
      <c r="X40" s="112"/>
      <c r="Y40" s="112"/>
      <c r="Z40" s="113"/>
    </row>
    <row r="41" spans="2:27" ht="15" customHeight="1">
      <c r="B41" s="111" t="s">
        <v>47</v>
      </c>
      <c r="C41" s="112"/>
      <c r="D41" s="112"/>
      <c r="E41" s="112"/>
      <c r="F41" s="112"/>
      <c r="G41" s="112"/>
      <c r="H41" s="112"/>
      <c r="I41" s="112"/>
      <c r="J41" s="112"/>
      <c r="K41" s="112"/>
      <c r="L41" s="112"/>
      <c r="M41" s="112"/>
      <c r="N41" s="112"/>
      <c r="O41" s="112"/>
      <c r="P41" s="112"/>
      <c r="Q41" s="112"/>
      <c r="R41" s="112"/>
      <c r="S41" s="112"/>
      <c r="T41" s="112"/>
      <c r="U41" s="112"/>
      <c r="V41" s="112"/>
      <c r="W41" s="112"/>
      <c r="X41" s="112"/>
      <c r="Y41" s="112"/>
      <c r="Z41" s="113"/>
    </row>
    <row r="42" spans="2:27" ht="15" customHeight="1">
      <c r="B42" s="111" t="s">
        <v>54</v>
      </c>
      <c r="C42" s="112"/>
      <c r="D42" s="112"/>
      <c r="E42" s="112"/>
      <c r="F42" s="112"/>
      <c r="G42" s="112"/>
      <c r="H42" s="112"/>
      <c r="I42" s="112"/>
      <c r="J42" s="112"/>
      <c r="K42" s="112"/>
      <c r="L42" s="112"/>
      <c r="M42" s="112"/>
      <c r="N42" s="112"/>
      <c r="O42" s="112"/>
      <c r="P42" s="112"/>
      <c r="Q42" s="112"/>
      <c r="R42" s="112"/>
      <c r="S42" s="112"/>
      <c r="T42" s="112"/>
      <c r="U42" s="112"/>
      <c r="V42" s="112"/>
      <c r="W42" s="112"/>
      <c r="X42" s="112"/>
      <c r="Y42" s="112"/>
      <c r="Z42" s="113"/>
    </row>
    <row r="43" spans="2:27" ht="18.75" customHeight="1">
      <c r="B43" s="78" t="s">
        <v>55</v>
      </c>
      <c r="C43" s="79"/>
      <c r="D43" s="79"/>
      <c r="E43" s="79"/>
      <c r="F43" s="79"/>
      <c r="G43" s="79"/>
      <c r="H43" s="79"/>
      <c r="I43" s="79"/>
      <c r="J43" s="79"/>
      <c r="K43" s="79"/>
      <c r="L43" s="79"/>
      <c r="M43" s="79"/>
      <c r="N43" s="79"/>
      <c r="O43" s="79"/>
      <c r="P43" s="79"/>
      <c r="Q43" s="79"/>
      <c r="R43" s="79"/>
      <c r="S43" s="79"/>
      <c r="T43" s="79"/>
      <c r="U43" s="79"/>
      <c r="V43" s="79"/>
      <c r="W43" s="79"/>
      <c r="X43" s="79"/>
      <c r="Y43" s="79"/>
      <c r="Z43" s="80"/>
    </row>
    <row r="44" spans="2:27" ht="18.75" customHeight="1">
      <c r="B44" s="81" t="s">
        <v>53</v>
      </c>
      <c r="C44" s="82"/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2"/>
      <c r="O44" s="82"/>
      <c r="P44" s="82"/>
      <c r="Q44" s="82"/>
      <c r="R44" s="82"/>
      <c r="S44" s="82"/>
      <c r="T44" s="82"/>
      <c r="U44" s="82"/>
      <c r="V44" s="82"/>
      <c r="W44" s="82"/>
      <c r="X44" s="82"/>
      <c r="Y44" s="82"/>
      <c r="Z44" s="83"/>
    </row>
    <row r="45" spans="2:27" ht="18.75" customHeight="1">
      <c r="B45" s="105" t="s">
        <v>52</v>
      </c>
      <c r="C45" s="106"/>
      <c r="D45" s="106"/>
      <c r="E45" s="107"/>
      <c r="F45" s="84" t="s">
        <v>50</v>
      </c>
      <c r="G45" s="85"/>
      <c r="H45" s="85"/>
      <c r="I45" s="85"/>
      <c r="J45" s="85"/>
      <c r="K45" s="85"/>
      <c r="L45" s="85"/>
      <c r="M45" s="85"/>
      <c r="N45" s="85"/>
      <c r="O45" s="85"/>
      <c r="P45" s="85"/>
      <c r="Q45" s="85"/>
      <c r="R45" s="85"/>
      <c r="S45" s="85"/>
      <c r="T45" s="85"/>
      <c r="U45" s="85"/>
      <c r="V45" s="85"/>
      <c r="W45" s="85"/>
      <c r="X45" s="85"/>
      <c r="Y45" s="85"/>
      <c r="Z45" s="86"/>
    </row>
    <row r="46" spans="2:27" ht="18.75" customHeight="1">
      <c r="B46" s="108" t="s">
        <v>49</v>
      </c>
      <c r="C46" s="109"/>
      <c r="D46" s="109"/>
      <c r="E46" s="110"/>
      <c r="F46" s="102" t="s">
        <v>51</v>
      </c>
      <c r="G46" s="103"/>
      <c r="H46" s="103"/>
      <c r="I46" s="103"/>
      <c r="J46" s="103"/>
      <c r="K46" s="103"/>
      <c r="L46" s="103"/>
      <c r="M46" s="103"/>
      <c r="N46" s="103"/>
      <c r="O46" s="103"/>
      <c r="P46" s="103"/>
      <c r="Q46" s="103"/>
      <c r="R46" s="103"/>
      <c r="S46" s="103"/>
      <c r="T46" s="103"/>
      <c r="U46" s="103"/>
      <c r="V46" s="103"/>
      <c r="W46" s="103"/>
      <c r="X46" s="103"/>
      <c r="Y46" s="103"/>
      <c r="Z46" s="104"/>
    </row>
  </sheetData>
  <mergeCells count="170">
    <mergeCell ref="C19:F19"/>
    <mergeCell ref="U21:W21"/>
    <mergeCell ref="X21:Z21"/>
    <mergeCell ref="X22:Z22"/>
    <mergeCell ref="X23:Z23"/>
    <mergeCell ref="Q20:R20"/>
    <mergeCell ref="Q21:R21"/>
    <mergeCell ref="U14:W14"/>
    <mergeCell ref="U16:W16"/>
    <mergeCell ref="U17:W17"/>
    <mergeCell ref="U18:W18"/>
    <mergeCell ref="U19:W19"/>
    <mergeCell ref="X16:Z16"/>
    <mergeCell ref="X17:Z17"/>
    <mergeCell ref="X18:Z18"/>
    <mergeCell ref="X19:Z19"/>
    <mergeCell ref="X20:Z20"/>
    <mergeCell ref="U22:W22"/>
    <mergeCell ref="U23:W23"/>
    <mergeCell ref="U20:W20"/>
    <mergeCell ref="Q22:R22"/>
    <mergeCell ref="G19:P19"/>
    <mergeCell ref="G20:P20"/>
    <mergeCell ref="G21:P21"/>
    <mergeCell ref="X27:Z27"/>
    <mergeCell ref="C29:F29"/>
    <mergeCell ref="C30:F30"/>
    <mergeCell ref="C31:F31"/>
    <mergeCell ref="C32:F32"/>
    <mergeCell ref="G30:P30"/>
    <mergeCell ref="G31:P31"/>
    <mergeCell ref="G32:P32"/>
    <mergeCell ref="C27:F27"/>
    <mergeCell ref="C28:F28"/>
    <mergeCell ref="S30:T30"/>
    <mergeCell ref="Q27:R27"/>
    <mergeCell ref="Q29:R29"/>
    <mergeCell ref="X28:Z28"/>
    <mergeCell ref="X30:Z30"/>
    <mergeCell ref="G29:P29"/>
    <mergeCell ref="U32:W32"/>
    <mergeCell ref="U28:W28"/>
    <mergeCell ref="U31:W31"/>
    <mergeCell ref="Q30:R30"/>
    <mergeCell ref="AH31:AL31"/>
    <mergeCell ref="AD26:AG26"/>
    <mergeCell ref="AH26:AL26"/>
    <mergeCell ref="AH27:AL27"/>
    <mergeCell ref="AH28:AL28"/>
    <mergeCell ref="AH29:AL29"/>
    <mergeCell ref="AH30:AL30"/>
    <mergeCell ref="AD27:AG27"/>
    <mergeCell ref="AD28:AG28"/>
    <mergeCell ref="AD30:AG30"/>
    <mergeCell ref="F46:Z46"/>
    <mergeCell ref="B45:E45"/>
    <mergeCell ref="B46:E46"/>
    <mergeCell ref="B40:Z40"/>
    <mergeCell ref="B42:Z42"/>
    <mergeCell ref="U29:W29"/>
    <mergeCell ref="U30:W30"/>
    <mergeCell ref="X34:Z34"/>
    <mergeCell ref="X33:Z33"/>
    <mergeCell ref="X35:Z35"/>
    <mergeCell ref="X36:Z36"/>
    <mergeCell ref="U33:W33"/>
    <mergeCell ref="B39:Z39"/>
    <mergeCell ref="D38:Z38"/>
    <mergeCell ref="B41:Z41"/>
    <mergeCell ref="U35:W35"/>
    <mergeCell ref="U36:W36"/>
    <mergeCell ref="X31:Z31"/>
    <mergeCell ref="X32:Z32"/>
    <mergeCell ref="U34:W34"/>
    <mergeCell ref="S32:T32"/>
    <mergeCell ref="X29:Z29"/>
    <mergeCell ref="S29:T29"/>
    <mergeCell ref="S31:T31"/>
    <mergeCell ref="S19:T19"/>
    <mergeCell ref="S20:T20"/>
    <mergeCell ref="Q19:R19"/>
    <mergeCell ref="S23:T23"/>
    <mergeCell ref="S21:T21"/>
    <mergeCell ref="S22:T22"/>
    <mergeCell ref="B43:Z43"/>
    <mergeCell ref="B44:Z44"/>
    <mergeCell ref="F45:Z45"/>
    <mergeCell ref="S24:T24"/>
    <mergeCell ref="S25:T25"/>
    <mergeCell ref="S26:T26"/>
    <mergeCell ref="X24:Z24"/>
    <mergeCell ref="X25:Z25"/>
    <mergeCell ref="U24:W24"/>
    <mergeCell ref="U25:W25"/>
    <mergeCell ref="U26:W26"/>
    <mergeCell ref="X26:Z26"/>
    <mergeCell ref="S27:T27"/>
    <mergeCell ref="U27:W27"/>
    <mergeCell ref="S28:T28"/>
    <mergeCell ref="Q31:R31"/>
    <mergeCell ref="Q32:R32"/>
    <mergeCell ref="Q28:R28"/>
    <mergeCell ref="C20:F20"/>
    <mergeCell ref="C21:F21"/>
    <mergeCell ref="C22:F22"/>
    <mergeCell ref="C23:F23"/>
    <mergeCell ref="Q23:R23"/>
    <mergeCell ref="C24:F24"/>
    <mergeCell ref="C25:F25"/>
    <mergeCell ref="G27:P27"/>
    <mergeCell ref="G28:P28"/>
    <mergeCell ref="Q24:R24"/>
    <mergeCell ref="Q25:R25"/>
    <mergeCell ref="Q26:R26"/>
    <mergeCell ref="C26:F26"/>
    <mergeCell ref="G22:P22"/>
    <mergeCell ref="G23:P23"/>
    <mergeCell ref="G24:P24"/>
    <mergeCell ref="G25:P25"/>
    <mergeCell ref="G26:P26"/>
    <mergeCell ref="D6:N6"/>
    <mergeCell ref="F9:J10"/>
    <mergeCell ref="X11:Z11"/>
    <mergeCell ref="R11:U11"/>
    <mergeCell ref="V11:W11"/>
    <mergeCell ref="R12:Z12"/>
    <mergeCell ref="X15:Z15"/>
    <mergeCell ref="G14:P14"/>
    <mergeCell ref="C14:F14"/>
    <mergeCell ref="X14:Z14"/>
    <mergeCell ref="I11:J11"/>
    <mergeCell ref="P9:Q9"/>
    <mergeCell ref="B8:N8"/>
    <mergeCell ref="G15:P15"/>
    <mergeCell ref="B1:Z1"/>
    <mergeCell ref="P7:Z7"/>
    <mergeCell ref="R8:Z8"/>
    <mergeCell ref="P8:Q8"/>
    <mergeCell ref="T3:U3"/>
    <mergeCell ref="R9:Z9"/>
    <mergeCell ref="R10:Z10"/>
    <mergeCell ref="P11:Q11"/>
    <mergeCell ref="Q15:R15"/>
    <mergeCell ref="S2:U2"/>
    <mergeCell ref="S15:T15"/>
    <mergeCell ref="U15:W15"/>
    <mergeCell ref="P10:Q10"/>
    <mergeCell ref="P12:Q12"/>
    <mergeCell ref="Q14:R14"/>
    <mergeCell ref="S14:T14"/>
    <mergeCell ref="C15:F15"/>
    <mergeCell ref="V2:Z2"/>
    <mergeCell ref="V3:Z3"/>
    <mergeCell ref="B4:L4"/>
    <mergeCell ref="B9:E10"/>
    <mergeCell ref="F11:H11"/>
    <mergeCell ref="M4:N4"/>
    <mergeCell ref="B6:C6"/>
    <mergeCell ref="C17:F17"/>
    <mergeCell ref="Q17:R17"/>
    <mergeCell ref="Q18:R18"/>
    <mergeCell ref="S16:T16"/>
    <mergeCell ref="S17:T17"/>
    <mergeCell ref="S18:T18"/>
    <mergeCell ref="Q16:R16"/>
    <mergeCell ref="C16:F16"/>
    <mergeCell ref="C18:F18"/>
    <mergeCell ref="G16:P16"/>
    <mergeCell ref="G17:P17"/>
    <mergeCell ref="G18:P18"/>
  </mergeCells>
  <phoneticPr fontId="1"/>
  <hyperlinks>
    <hyperlink ref="R12" r:id="rId1"/>
  </hyperlinks>
  <printOptions horizontalCentered="1"/>
  <pageMargins left="0.39370078740157483" right="0.39370078740157483" top="0.59055118110236227" bottom="0.59055118110236227" header="0.39370078740157483" footer="0.39370078740157483"/>
  <pageSetup paperSize="9" scale="95" orientation="portrait"/>
  <headerFooter alignWithMargins="0"/>
  <rowBreaks count="1" manualBreakCount="1">
    <brk id="46" max="16383" man="1"/>
  </rowBreaks>
  <colBreaks count="1" manualBreakCount="1">
    <brk id="26" max="1048575" man="1"/>
  </colBreaks>
  <legacyDrawing r:id="rId2"/>
  <extLst>
    <ext xmlns:mx="http://schemas.microsoft.com/office/mac/excel/2008/main" uri="{64002731-A6B0-56B0-2670-7721B7C09600}">
      <mx:PLV Mode="0" OnePage="0" WScale="10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見積書</vt:lpstr>
    </vt:vector>
  </TitlesOfParts>
  <Company>INUNITY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テンプレート</dc:title>
  <dc:subject>見積書テンプレート</dc:subject>
  <dc:creator>INUNITY</dc:creator>
  <cp:lastModifiedBy>SUDO YUI</cp:lastModifiedBy>
  <cp:lastPrinted>2014-05-24T10:17:10Z</cp:lastPrinted>
  <dcterms:created xsi:type="dcterms:W3CDTF">2003-08-26T07:11:29Z</dcterms:created>
  <dcterms:modified xsi:type="dcterms:W3CDTF">2014-05-24T12:53:42Z</dcterms:modified>
  <cp:category>フリーウェア</cp:category>
</cp:coreProperties>
</file>