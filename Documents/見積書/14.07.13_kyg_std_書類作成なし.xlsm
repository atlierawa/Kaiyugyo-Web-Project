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4709"/>
  <workbookPr codeName="ThisWorkbook" checkCompatibility="1" autoCompressPictures="0"/>
  <bookViews>
    <workbookView xWindow="0" yWindow="0" windowWidth="25600" windowHeight="14900"/>
  </bookViews>
  <sheets>
    <sheet name="御見積書" sheetId="2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X16" i="2" l="1"/>
  <c r="X17" i="2"/>
  <c r="X15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9" i="2"/>
  <c r="F9" i="2"/>
  <c r="X40" i="2"/>
  <c r="I11" i="2"/>
</calcChain>
</file>

<file path=xl/comments1.xml><?xml version="1.0" encoding="utf-8"?>
<comments xmlns="http://schemas.openxmlformats.org/spreadsheetml/2006/main">
  <authors>
    <author>INUNITY</author>
    <author>USER</author>
    <author>ishizuka</author>
    <author>user</author>
  </authors>
  <commentList>
    <comment ref="V2" authorId="0">
      <text>
        <r>
          <rPr>
            <b/>
            <sz val="9"/>
            <color indexed="81"/>
            <rFont val="ＭＳ Ｐゴシック"/>
            <family val="3"/>
            <charset val="128"/>
          </rPr>
          <t>見積書の作成日を入力します。
例、2013/1/1（自動的に和暦表示されます。）</t>
        </r>
      </text>
    </comment>
    <comment ref="V3" authorId="0">
      <text>
        <r>
          <rPr>
            <b/>
            <sz val="9"/>
            <color indexed="81"/>
            <rFont val="ＭＳ Ｐゴシック"/>
            <family val="3"/>
            <charset val="128"/>
          </rPr>
          <t>見積書番号を入力します。</t>
        </r>
      </text>
    </comment>
    <comment ref="B4" authorId="0">
      <text>
        <r>
          <rPr>
            <b/>
            <sz val="9"/>
            <color indexed="81"/>
            <rFont val="ＭＳ Ｐゴシック"/>
            <family val="3"/>
            <charset val="128"/>
          </rPr>
          <t>相手先の会社名や店舗名などを入力します。</t>
        </r>
      </text>
    </comment>
    <comment ref="M4" authorId="1">
      <text>
        <r>
          <rPr>
            <b/>
            <sz val="9"/>
            <color indexed="81"/>
            <rFont val="ＭＳ Ｐゴシック"/>
            <family val="3"/>
            <charset val="128"/>
          </rPr>
          <t>任意の敬称に変更できます。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D6" authorId="0">
      <text>
        <r>
          <rPr>
            <b/>
            <sz val="9"/>
            <color indexed="81"/>
            <rFont val="ＭＳ Ｐゴシック"/>
            <family val="3"/>
            <charset val="128"/>
          </rPr>
          <t>件名を入力します。</t>
        </r>
      </text>
    </comment>
    <comment ref="P7" authorId="0">
      <text>
        <r>
          <rPr>
            <b/>
            <sz val="9"/>
            <color indexed="81"/>
            <rFont val="ＭＳ Ｐゴシック"/>
            <family val="3"/>
            <charset val="128"/>
          </rPr>
          <t>ここに自社名や店舗名などを入力します。</t>
        </r>
      </text>
    </comment>
    <comment ref="B8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</text>
    </comment>
    <comment ref="P8" authorId="3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R8" authorId="0">
      <text>
        <r>
          <rPr>
            <b/>
            <sz val="9"/>
            <color indexed="81"/>
            <rFont val="ＭＳ Ｐゴシック"/>
            <family val="3"/>
            <charset val="128"/>
          </rPr>
          <t>担当者名を入力します。</t>
        </r>
      </text>
    </comment>
    <comment ref="F9" authorId="0">
      <text>
        <r>
          <rPr>
            <b/>
            <sz val="9"/>
            <color indexed="81"/>
            <rFont val="ＭＳ Ｐゴシック"/>
            <family val="3"/>
            <charset val="128"/>
          </rPr>
          <t>小計が自動入力されます。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R9" authorId="0">
      <text>
        <r>
          <rPr>
            <b/>
            <sz val="9"/>
            <color indexed="81"/>
            <rFont val="ＭＳ Ｐゴシック"/>
            <family val="3"/>
            <charset val="128"/>
          </rPr>
          <t>住所を入力します。</t>
        </r>
      </text>
    </comment>
    <comment ref="R1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ビル名などを入力します。</t>
        </r>
      </text>
    </comment>
    <comment ref="I11" authorId="0">
      <text>
        <r>
          <rPr>
            <b/>
            <sz val="9"/>
            <color indexed="81"/>
            <rFont val="ＭＳ Ｐゴシック"/>
            <family val="3"/>
            <charset val="128"/>
          </rPr>
          <t>消費税額（端数は切り捨て）が自動入力されます。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R11" authorId="0">
      <text>
        <r>
          <rPr>
            <b/>
            <sz val="9"/>
            <color indexed="81"/>
            <rFont val="ＭＳ Ｐゴシック"/>
            <family val="3"/>
            <charset val="128"/>
          </rPr>
          <t>電話番号を入力します。</t>
        </r>
      </text>
    </comment>
    <comment ref="X11" authorId="3">
      <text>
        <r>
          <rPr>
            <b/>
            <sz val="9"/>
            <color indexed="81"/>
            <rFont val="ＭＳ Ｐゴシック"/>
            <family val="3"/>
            <charset val="128"/>
          </rPr>
          <t>FAX番号を入力します。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P12" authorId="3">
      <text>
        <r>
          <rPr>
            <sz val="9"/>
            <color indexed="81"/>
            <rFont val="ＭＳ Ｐゴシック"/>
            <family val="3"/>
            <charset val="128"/>
          </rPr>
          <t xml:space="preserve">任意で変更可能です
</t>
        </r>
      </text>
    </comment>
    <comment ref="R12" authorId="0">
      <text>
        <r>
          <rPr>
            <b/>
            <sz val="9"/>
            <color indexed="81"/>
            <rFont val="ＭＳ Ｐゴシック"/>
            <family val="3"/>
            <charset val="128"/>
          </rPr>
          <t>電子メールアドレスなどを入力します。</t>
        </r>
      </text>
    </comment>
    <comment ref="C14" authorId="1">
      <text>
        <r>
          <rPr>
            <b/>
            <sz val="9"/>
            <color indexed="81"/>
            <rFont val="ＭＳ Ｐゴシック"/>
            <family val="3"/>
            <charset val="128"/>
          </rPr>
          <t>任意の項目名に変更できます。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Q15" authorId="0">
      <text>
        <r>
          <rPr>
            <b/>
            <sz val="9"/>
            <color indexed="81"/>
            <rFont val="ＭＳ Ｐゴシック"/>
            <family val="3"/>
            <charset val="128"/>
          </rPr>
          <t>数量は小数も入力できます。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U15" authorId="2">
      <text>
        <r>
          <rPr>
            <b/>
            <sz val="9"/>
            <color indexed="81"/>
            <rFont val="ＭＳ Ｐゴシック"/>
            <family val="3"/>
            <charset val="128"/>
          </rPr>
          <t>税抜き金額で入力します。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15" authorId="0">
      <text>
        <r>
          <rPr>
            <b/>
            <sz val="9"/>
            <color indexed="81"/>
            <rFont val="ＭＳ Ｐゴシック"/>
            <family val="3"/>
            <charset val="128"/>
          </rPr>
          <t>数量×単価の計算結果を表示します。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37" authorId="0">
      <text>
        <r>
          <rPr>
            <b/>
            <sz val="9"/>
            <color indexed="81"/>
            <rFont val="ＭＳ Ｐゴシック"/>
            <family val="3"/>
            <charset val="128"/>
          </rPr>
          <t>縦計が自動計算されます。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38" authorId="2">
      <text>
        <r>
          <rPr>
            <b/>
            <sz val="9"/>
            <color indexed="81"/>
            <rFont val="ＭＳ Ｐゴシック"/>
            <family val="3"/>
            <charset val="128"/>
          </rPr>
          <t>消費税率をパーセントで入力します。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39" authorId="0">
      <text>
        <r>
          <rPr>
            <b/>
            <sz val="9"/>
            <color indexed="81"/>
            <rFont val="ＭＳ Ｐゴシック"/>
            <family val="3"/>
            <charset val="128"/>
          </rPr>
          <t>小計と消費税率で自動計算されます。端数は切り捨てです。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40" authorId="0">
      <text>
        <r>
          <rPr>
            <b/>
            <sz val="9"/>
            <color indexed="81"/>
            <rFont val="ＭＳ Ｐゴシック"/>
            <family val="3"/>
            <charset val="128"/>
          </rPr>
          <t>小計と消費税額の合計が表示されます。</t>
        </r>
      </text>
    </comment>
    <comment ref="B47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B48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F48" authorId="0">
      <text>
        <r>
          <rPr>
            <b/>
            <sz val="9"/>
            <color indexed="81"/>
            <rFont val="ＭＳ Ｐゴシック"/>
            <family val="3"/>
            <charset val="128"/>
          </rPr>
          <t>受け渡し場所を入力します。</t>
        </r>
      </text>
    </comment>
    <comment ref="B49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F49" authorId="0">
      <text>
        <r>
          <rPr>
            <b/>
            <sz val="9"/>
            <color indexed="81"/>
            <rFont val="ＭＳ Ｐゴシック"/>
            <family val="3"/>
            <charset val="128"/>
          </rPr>
          <t>お支払い条件を入力します。</t>
        </r>
      </text>
    </comment>
  </commentList>
</comments>
</file>

<file path=xl/sharedStrings.xml><?xml version="1.0" encoding="utf-8"?>
<sst xmlns="http://schemas.openxmlformats.org/spreadsheetml/2006/main" count="66" uniqueCount="58">
  <si>
    <t>小計</t>
    <rPh sb="0" eb="2">
      <t>ショウケイ</t>
    </rPh>
    <phoneticPr fontId="1"/>
  </si>
  <si>
    <t>合計</t>
    <rPh sb="0" eb="2">
      <t>ゴウケイ</t>
    </rPh>
    <phoneticPr fontId="1"/>
  </si>
  <si>
    <t>御中</t>
    <rPh sb="0" eb="2">
      <t>オンチュウ</t>
    </rPh>
    <phoneticPr fontId="1"/>
  </si>
  <si>
    <t>住所</t>
    <rPh sb="0" eb="2">
      <t>ジュウショ</t>
    </rPh>
    <phoneticPr fontId="1"/>
  </si>
  <si>
    <t>電話番号</t>
    <rPh sb="0" eb="2">
      <t>デンワ</t>
    </rPh>
    <rPh sb="2" eb="4">
      <t>バンゴウ</t>
    </rPh>
    <phoneticPr fontId="1"/>
  </si>
  <si>
    <t>下記の通りお見積もり申し上げます。</t>
  </si>
  <si>
    <t>見 積 金 額</t>
    <rPh sb="0" eb="1">
      <t>ケン</t>
    </rPh>
    <rPh sb="2" eb="3">
      <t>セキ</t>
    </rPh>
    <rPh sb="4" eb="5">
      <t>キン</t>
    </rPh>
    <rPh sb="6" eb="7">
      <t>ガク</t>
    </rPh>
    <phoneticPr fontId="1"/>
  </si>
  <si>
    <t>数量</t>
    <rPh sb="0" eb="2">
      <t>スウリョウ</t>
    </rPh>
    <phoneticPr fontId="1"/>
  </si>
  <si>
    <t>単位</t>
    <rPh sb="0" eb="2">
      <t>タンイ</t>
    </rPh>
    <phoneticPr fontId="1"/>
  </si>
  <si>
    <t>金　額</t>
    <rPh sb="0" eb="1">
      <t>キン</t>
    </rPh>
    <rPh sb="2" eb="3">
      <t>ガク</t>
    </rPh>
    <phoneticPr fontId="1"/>
  </si>
  <si>
    <t>単　価</t>
    <rPh sb="0" eb="1">
      <t>タン</t>
    </rPh>
    <rPh sb="2" eb="3">
      <t>アタイ</t>
    </rPh>
    <phoneticPr fontId="1"/>
  </si>
  <si>
    <t>【備　考】</t>
    <rPh sb="1" eb="2">
      <t>ソナエ</t>
    </rPh>
    <rPh sb="3" eb="4">
      <t>コウ</t>
    </rPh>
    <phoneticPr fontId="1"/>
  </si>
  <si>
    <t>見積番号</t>
    <phoneticPr fontId="1"/>
  </si>
  <si>
    <t>No</t>
    <phoneticPr fontId="1"/>
  </si>
  <si>
    <t>E-Mail</t>
    <phoneticPr fontId="1"/>
  </si>
  <si>
    <t>担当者</t>
    <rPh sb="0" eb="3">
      <t>タントウシャ</t>
    </rPh>
    <phoneticPr fontId="1"/>
  </si>
  <si>
    <t>見積作成日</t>
    <rPh sb="0" eb="2">
      <t>ミツ</t>
    </rPh>
    <phoneticPr fontId="1"/>
  </si>
  <si>
    <t>消費税額</t>
    <phoneticPr fontId="1"/>
  </si>
  <si>
    <t>消費税率</t>
    <rPh sb="0" eb="3">
      <t>ショウヒゼイ</t>
    </rPh>
    <rPh sb="3" eb="4">
      <t>リツ</t>
    </rPh>
    <phoneticPr fontId="1"/>
  </si>
  <si>
    <t>消費税額</t>
    <rPh sb="0" eb="3">
      <t>ショウヒゼイ</t>
    </rPh>
    <rPh sb="3" eb="4">
      <t>ガク</t>
    </rPh>
    <phoneticPr fontId="1"/>
  </si>
  <si>
    <t>（税抜）</t>
    <rPh sb="1" eb="2">
      <t>ゼイ</t>
    </rPh>
    <rPh sb="2" eb="3">
      <t>ヌ</t>
    </rPh>
    <phoneticPr fontId="1"/>
  </si>
  <si>
    <t>ouriro24@gmail.com</t>
    <phoneticPr fontId="1"/>
  </si>
  <si>
    <t>式</t>
    <rPh sb="0" eb="1">
      <t>シキ</t>
    </rPh>
    <phoneticPr fontId="1"/>
  </si>
  <si>
    <t>品　　　　名</t>
    <rPh sb="0" eb="6">
      <t>シナメイ</t>
    </rPh>
    <phoneticPr fontId="1"/>
  </si>
  <si>
    <t>項　　目</t>
    <rPh sb="0" eb="4">
      <t>コウモク</t>
    </rPh>
    <phoneticPr fontId="1"/>
  </si>
  <si>
    <t>年</t>
    <rPh sb="0" eb="1">
      <t>ネン</t>
    </rPh>
    <phoneticPr fontId="1"/>
  </si>
  <si>
    <t>要件定義/コンサルティング</t>
    <rPh sb="0" eb="2">
      <t>ヨウケン</t>
    </rPh>
    <rPh sb="2" eb="4">
      <t>テイギ</t>
    </rPh>
    <phoneticPr fontId="1"/>
  </si>
  <si>
    <t>ウェブサイト設計</t>
    <rPh sb="6" eb="8">
      <t>セッケイ</t>
    </rPh>
    <phoneticPr fontId="1"/>
  </si>
  <si>
    <t>CMS設定</t>
    <rPh sb="3" eb="5">
      <t>セッテイ</t>
    </rPh>
    <phoneticPr fontId="1"/>
  </si>
  <si>
    <t>動作検証・試験</t>
    <rPh sb="0" eb="4">
      <t>ドウサケンショウ</t>
    </rPh>
    <rPh sb="5" eb="7">
      <t>シケン</t>
    </rPh>
    <phoneticPr fontId="1"/>
  </si>
  <si>
    <t>更新ガイド（操作方法マニュアル作成）</t>
    <rPh sb="0" eb="2">
      <t>コウシン</t>
    </rPh>
    <rPh sb="6" eb="10">
      <t>ソウサホウホウ</t>
    </rPh>
    <rPh sb="15" eb="17">
      <t>サクセイ</t>
    </rPh>
    <phoneticPr fontId="1"/>
  </si>
  <si>
    <t>写真加工</t>
    <rPh sb="0" eb="2">
      <t>シャシン</t>
    </rPh>
    <rPh sb="2" eb="4">
      <t>カコウ</t>
    </rPh>
    <phoneticPr fontId="1"/>
  </si>
  <si>
    <t>写真撮影</t>
    <rPh sb="0" eb="4">
      <t>シャシンサツエイ</t>
    </rPh>
    <phoneticPr fontId="1"/>
  </si>
  <si>
    <t>カメラマン交通費（都内―鴨川）</t>
    <rPh sb="5" eb="8">
      <t>コウツウヒ</t>
    </rPh>
    <rPh sb="9" eb="11">
      <t>トナイ</t>
    </rPh>
    <rPh sb="12" eb="14">
      <t>カモガワ</t>
    </rPh>
    <phoneticPr fontId="1"/>
  </si>
  <si>
    <t>ドメイン取得および管理</t>
    <rPh sb="4" eb="6">
      <t>シュトク</t>
    </rPh>
    <rPh sb="9" eb="11">
      <t>カンリ</t>
    </rPh>
    <phoneticPr fontId="1"/>
  </si>
  <si>
    <t>・サイト内の総ページ数は、１５ページ以内を想定しています。</t>
    <rPh sb="4" eb="5">
      <t>ナイ</t>
    </rPh>
    <rPh sb="6" eb="7">
      <t>ソウゴウ</t>
    </rPh>
    <rPh sb="10" eb="11">
      <t>スウ</t>
    </rPh>
    <rPh sb="18" eb="20">
      <t>イナイ</t>
    </rPh>
    <rPh sb="21" eb="23">
      <t>ソウテイ</t>
    </rPh>
    <phoneticPr fontId="1"/>
  </si>
  <si>
    <t>見積書有効期限：</t>
  </si>
  <si>
    <t>発行日から３ヶ月以内</t>
    <rPh sb="0" eb="2">
      <t>ハッコウ</t>
    </rPh>
    <rPh sb="2" eb="3">
      <t>ビ</t>
    </rPh>
    <rPh sb="6" eb="8">
      <t>カゲツ</t>
    </rPh>
    <rPh sb="8" eb="10">
      <t>イナイ</t>
    </rPh>
    <phoneticPr fontId="1"/>
  </si>
  <si>
    <t>作業期間：</t>
    <rPh sb="0" eb="4">
      <t>サギョウキカン</t>
    </rPh>
    <phoneticPr fontId="1"/>
  </si>
  <si>
    <t>Cafe＆ガラス工房 海遊魚</t>
    <phoneticPr fontId="1"/>
  </si>
  <si>
    <t>ホームページ新規作成</t>
    <rPh sb="6" eb="8">
      <t>シンキ</t>
    </rPh>
    <rPh sb="8" eb="10">
      <t>サクセイ</t>
    </rPh>
    <phoneticPr fontId="1"/>
  </si>
  <si>
    <t>件　名</t>
    <rPh sb="0" eb="1">
      <t>ケン</t>
    </rPh>
    <rPh sb="2" eb="3">
      <t>メイ</t>
    </rPh>
    <phoneticPr fontId="1"/>
  </si>
  <si>
    <t>Creative Office OUR*IRO</t>
    <phoneticPr fontId="1"/>
  </si>
  <si>
    <t>利根川 直紀クリストファー</t>
    <rPh sb="0" eb="3">
      <t>トネガワ</t>
    </rPh>
    <rPh sb="4" eb="6">
      <t>ナオキ</t>
    </rPh>
    <phoneticPr fontId="1"/>
  </si>
  <si>
    <t>システム関連</t>
    <rPh sb="4" eb="6">
      <t>カンレン</t>
    </rPh>
    <phoneticPr fontId="1"/>
  </si>
  <si>
    <t>コーディング</t>
  </si>
  <si>
    <t>式</t>
    <rPh sb="0" eb="1">
      <t>シキ</t>
    </rPh>
    <phoneticPr fontId="1"/>
  </si>
  <si>
    <t>テンプレートデザイン</t>
  </si>
  <si>
    <t>ロゴデザイン</t>
  </si>
  <si>
    <t>日</t>
    <rPh sb="0" eb="1">
      <t>ヒ</t>
    </rPh>
    <phoneticPr fontId="1"/>
  </si>
  <si>
    <t>デザイン関連</t>
    <rPh sb="4" eb="6">
      <t>カンレン</t>
    </rPh>
    <phoneticPr fontId="1"/>
  </si>
  <si>
    <t>・1ページのボリュームはA4の原稿1枚程度を想定しています。</t>
    <rPh sb="19" eb="21">
      <t>テイド</t>
    </rPh>
    <rPh sb="22" eb="24">
      <t>ソウテイ</t>
    </rPh>
    <phoneticPr fontId="1"/>
  </si>
  <si>
    <t>相談の上で決定</t>
    <rPh sb="0" eb="2">
      <t>ソウダン</t>
    </rPh>
    <rPh sb="3" eb="4">
      <t>ウエ</t>
    </rPh>
    <rPh sb="5" eb="7">
      <t>ケッテイ</t>
    </rPh>
    <phoneticPr fontId="1"/>
  </si>
  <si>
    <t>・サーバは他社マイクロブログサービス（Tumblr）の利用を想定しています。</t>
    <rPh sb="5" eb="7">
      <t>タシャ</t>
    </rPh>
    <rPh sb="27" eb="29">
      <t>リヨウ</t>
    </rPh>
    <rPh sb="30" eb="32">
      <t>ソウテイ</t>
    </rPh>
    <phoneticPr fontId="1"/>
  </si>
  <si>
    <t>・アクセス解析は標準で付属します。</t>
    <rPh sb="5" eb="7">
      <t>カイセキ</t>
    </rPh>
    <rPh sb="8" eb="10">
      <t>ヒョウジュン</t>
    </rPh>
    <rPh sb="11" eb="13">
      <t>フゾク</t>
    </rPh>
    <phoneticPr fontId="1"/>
  </si>
  <si>
    <t>御　見　積　書</t>
    <rPh sb="0" eb="1">
      <t>ゴ</t>
    </rPh>
    <rPh sb="2" eb="3">
      <t>ケン</t>
    </rPh>
    <rPh sb="4" eb="5">
      <t>セキ</t>
    </rPh>
    <rPh sb="6" eb="7">
      <t>ショ</t>
    </rPh>
    <phoneticPr fontId="1"/>
  </si>
  <si>
    <t>048-593-0272</t>
    <phoneticPr fontId="1"/>
  </si>
  <si>
    <t>千葉県鴨川市松尾寺423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</si>
</sst>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5" formatCode="&quot;¥&quot;#,##0;&quot;¥&quot;\-#,##0"/>
    <numFmt numFmtId="176" formatCode="[$-411]ggge&quot;年&quot;m&quot;月&quot;d&quot;日&quot;;@"/>
    <numFmt numFmtId="177" formatCode="0_ "/>
  </numFmts>
  <fonts count="14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明朝"/>
      <family val="1"/>
      <charset val="128"/>
    </font>
    <font>
      <sz val="9"/>
      <name val="ＭＳ Ｐ明朝"/>
      <family val="1"/>
      <charset val="128"/>
    </font>
    <font>
      <sz val="12"/>
      <name val="ＭＳ Ｐ明朝"/>
      <family val="1"/>
      <charset val="128"/>
    </font>
    <font>
      <b/>
      <sz val="16"/>
      <name val="ＭＳ Ｐ明朝"/>
      <family val="1"/>
      <charset val="128"/>
    </font>
    <font>
      <b/>
      <sz val="12"/>
      <name val="ＭＳ Ｐ明朝"/>
      <family val="1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Ｐ明朝"/>
      <family val="1"/>
      <charset val="128"/>
    </font>
    <font>
      <b/>
      <sz val="9"/>
      <name val="ＭＳ Ｐ明朝"/>
      <family val="1"/>
      <charset val="128"/>
    </font>
    <font>
      <u/>
      <sz val="11"/>
      <color theme="10"/>
      <name val="ＭＳ Ｐゴシック"/>
      <family val="3"/>
      <charset val="128"/>
    </font>
    <font>
      <u/>
      <sz val="11"/>
      <color theme="11"/>
      <name val="ＭＳ Ｐゴシック"/>
      <family val="3"/>
      <charset val="128"/>
    </font>
    <font>
      <sz val="11"/>
      <color indexed="10"/>
      <name val="ＭＳ Ｐ明朝"/>
      <family val="1"/>
      <charset val="128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dashed">
        <color auto="1"/>
      </right>
      <top style="thin">
        <color auto="1"/>
      </top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/>
      <top/>
      <bottom/>
      <diagonal/>
    </border>
    <border>
      <left/>
      <right style="dashed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/>
      <top/>
      <bottom style="thin">
        <color auto="1"/>
      </bottom>
      <diagonal/>
    </border>
    <border>
      <left/>
      <right style="dashed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dashed">
        <color auto="1"/>
      </left>
      <right/>
      <top style="thin">
        <color auto="1"/>
      </top>
      <bottom/>
      <diagonal/>
    </border>
    <border>
      <left/>
      <right style="dashed">
        <color auto="1"/>
      </right>
      <top style="thin">
        <color auto="1"/>
      </top>
      <bottom/>
      <diagonal/>
    </border>
  </borders>
  <cellStyleXfs count="16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149">
    <xf numFmtId="0" fontId="0" fillId="0" borderId="0" xfId="0"/>
    <xf numFmtId="0" fontId="2" fillId="0" borderId="0" xfId="0" applyFont="1"/>
    <xf numFmtId="0" fontId="2" fillId="0" borderId="0" xfId="0" applyFont="1" applyProtection="1"/>
    <xf numFmtId="0" fontId="2" fillId="0" borderId="3" xfId="0" applyFont="1" applyBorder="1"/>
    <xf numFmtId="0" fontId="2" fillId="0" borderId="0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1" xfId="0" applyFont="1" applyBorder="1"/>
    <xf numFmtId="3" fontId="9" fillId="0" borderId="0" xfId="0" applyNumberFormat="1" applyFont="1" applyAlignment="1"/>
    <xf numFmtId="0" fontId="2" fillId="0" borderId="0" xfId="0" applyFont="1" applyAlignment="1">
      <alignment horizontal="right"/>
    </xf>
    <xf numFmtId="0" fontId="2" fillId="0" borderId="0" xfId="0" applyFont="1" applyAlignment="1"/>
    <xf numFmtId="5" fontId="2" fillId="0" borderId="0" xfId="0" applyNumberFormat="1" applyFont="1" applyAlignment="1"/>
    <xf numFmtId="0" fontId="2" fillId="0" borderId="0" xfId="0" applyFont="1" applyAlignment="1" applyProtection="1"/>
    <xf numFmtId="176" fontId="2" fillId="0" borderId="0" xfId="0" applyNumberFormat="1" applyFont="1" applyAlignment="1" applyProtection="1"/>
    <xf numFmtId="3" fontId="2" fillId="0" borderId="0" xfId="0" applyNumberFormat="1" applyFont="1" applyAlignment="1"/>
    <xf numFmtId="0" fontId="2" fillId="0" borderId="1" xfId="0" applyFont="1" applyBorder="1" applyAlignment="1"/>
    <xf numFmtId="49" fontId="2" fillId="0" borderId="2" xfId="0" applyNumberFormat="1" applyFont="1" applyBorder="1" applyAlignment="1">
      <alignment horizontal="center"/>
    </xf>
    <xf numFmtId="177" fontId="2" fillId="0" borderId="7" xfId="0" applyNumberFormat="1" applyFont="1" applyBorder="1" applyProtection="1">
      <protection locked="0"/>
    </xf>
    <xf numFmtId="177" fontId="2" fillId="0" borderId="8" xfId="0" applyNumberFormat="1" applyFont="1" applyFill="1" applyBorder="1" applyProtection="1">
      <protection locked="0"/>
    </xf>
    <xf numFmtId="177" fontId="2" fillId="0" borderId="8" xfId="0" applyNumberFormat="1" applyFont="1" applyBorder="1" applyProtection="1">
      <protection locked="0"/>
    </xf>
    <xf numFmtId="177" fontId="13" fillId="0" borderId="8" xfId="0" applyNumberFormat="1" applyFont="1" applyFill="1" applyBorder="1" applyProtection="1">
      <protection locked="0"/>
    </xf>
    <xf numFmtId="177" fontId="2" fillId="0" borderId="9" xfId="0" applyNumberFormat="1" applyFont="1" applyFill="1" applyBorder="1" applyProtection="1">
      <protection locked="0"/>
    </xf>
    <xf numFmtId="0" fontId="2" fillId="0" borderId="6" xfId="0" applyFont="1" applyBorder="1"/>
    <xf numFmtId="0" fontId="3" fillId="0" borderId="0" xfId="0" applyFont="1"/>
    <xf numFmtId="49" fontId="5" fillId="0" borderId="0" xfId="0" applyNumberFormat="1" applyFont="1" applyAlignment="1">
      <alignment horizontal="center"/>
    </xf>
    <xf numFmtId="49" fontId="3" fillId="0" borderId="0" xfId="0" applyNumberFormat="1" applyFont="1" applyAlignment="1" applyProtection="1">
      <alignment horizontal="left"/>
      <protection locked="0"/>
    </xf>
    <xf numFmtId="49" fontId="3" fillId="0" borderId="0" xfId="0" applyNumberFormat="1" applyFont="1" applyAlignment="1" applyProtection="1">
      <alignment horizontal="right"/>
      <protection locked="0"/>
    </xf>
    <xf numFmtId="0" fontId="3" fillId="0" borderId="0" xfId="0" applyFont="1" applyAlignment="1">
      <alignment horizontal="right"/>
    </xf>
    <xf numFmtId="49" fontId="3" fillId="0" borderId="0" xfId="0" applyNumberFormat="1" applyFont="1" applyAlignment="1">
      <alignment horizontal="right"/>
    </xf>
    <xf numFmtId="0" fontId="2" fillId="0" borderId="20" xfId="0" applyNumberFormat="1" applyFont="1" applyBorder="1" applyAlignment="1" applyProtection="1">
      <alignment horizontal="right"/>
      <protection locked="0"/>
    </xf>
    <xf numFmtId="0" fontId="2" fillId="0" borderId="21" xfId="0" applyNumberFormat="1" applyFont="1" applyBorder="1" applyAlignment="1" applyProtection="1">
      <alignment horizontal="right"/>
      <protection locked="0"/>
    </xf>
    <xf numFmtId="49" fontId="2" fillId="0" borderId="0" xfId="0" applyNumberFormat="1" applyFont="1" applyAlignment="1" applyProtection="1">
      <alignment horizontal="left"/>
      <protection locked="0"/>
    </xf>
    <xf numFmtId="49" fontId="2" fillId="0" borderId="20" xfId="0" applyNumberFormat="1" applyFont="1" applyBorder="1" applyAlignment="1" applyProtection="1">
      <alignment horizontal="left"/>
      <protection locked="0"/>
    </xf>
    <xf numFmtId="49" fontId="2" fillId="0" borderId="1" xfId="0" applyNumberFormat="1" applyFont="1" applyBorder="1" applyAlignment="1" applyProtection="1">
      <alignment horizontal="left"/>
      <protection locked="0"/>
    </xf>
    <xf numFmtId="176" fontId="3" fillId="0" borderId="0" xfId="0" applyNumberFormat="1" applyFont="1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0" fontId="4" fillId="0" borderId="5" xfId="0" applyFont="1" applyBorder="1" applyAlignment="1" applyProtection="1">
      <alignment horizontal="left"/>
      <protection locked="0"/>
    </xf>
    <xf numFmtId="49" fontId="3" fillId="0" borderId="0" xfId="0" applyNumberFormat="1" applyFont="1" applyAlignment="1" applyProtection="1">
      <alignment horizontal="right"/>
    </xf>
    <xf numFmtId="5" fontId="10" fillId="0" borderId="13" xfId="0" applyNumberFormat="1" applyFont="1" applyBorder="1" applyAlignment="1" applyProtection="1">
      <alignment horizontal="left"/>
      <protection hidden="1"/>
    </xf>
    <xf numFmtId="0" fontId="6" fillId="0" borderId="0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2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0" fontId="2" fillId="0" borderId="18" xfId="0" applyFont="1" applyBorder="1" applyAlignment="1">
      <alignment horizontal="right"/>
    </xf>
    <xf numFmtId="0" fontId="2" fillId="0" borderId="17" xfId="0" applyFont="1" applyBorder="1" applyAlignment="1">
      <alignment horizontal="right"/>
    </xf>
    <xf numFmtId="0" fontId="2" fillId="0" borderId="13" xfId="0" applyFont="1" applyBorder="1" applyAlignment="1">
      <alignment horizontal="right"/>
    </xf>
    <xf numFmtId="0" fontId="2" fillId="0" borderId="14" xfId="0" applyFont="1" applyBorder="1" applyAlignment="1">
      <alignment horizontal="right"/>
    </xf>
    <xf numFmtId="0" fontId="2" fillId="0" borderId="3" xfId="0" applyFont="1" applyBorder="1" applyAlignment="1" applyProtection="1">
      <alignment horizontal="left"/>
      <protection locked="0"/>
    </xf>
    <xf numFmtId="0" fontId="2" fillId="0" borderId="0" xfId="0" applyFont="1" applyBorder="1" applyAlignment="1" applyProtection="1">
      <alignment horizontal="left"/>
      <protection locked="0"/>
    </xf>
    <xf numFmtId="0" fontId="2" fillId="0" borderId="12" xfId="0" applyFont="1" applyBorder="1" applyAlignment="1" applyProtection="1">
      <alignment horizontal="left"/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49" fontId="2" fillId="0" borderId="14" xfId="0" applyNumberFormat="1" applyFont="1" applyBorder="1" applyAlignment="1" applyProtection="1">
      <alignment horizontal="center"/>
      <protection locked="0"/>
    </xf>
    <xf numFmtId="49" fontId="2" fillId="0" borderId="17" xfId="0" applyNumberFormat="1" applyFont="1" applyBorder="1" applyAlignment="1" applyProtection="1">
      <alignment horizontal="center"/>
      <protection locked="0"/>
    </xf>
    <xf numFmtId="49" fontId="2" fillId="0" borderId="0" xfId="0" applyNumberFormat="1" applyFont="1" applyBorder="1" applyAlignment="1" applyProtection="1">
      <alignment horizontal="center"/>
      <protection locked="0"/>
    </xf>
    <xf numFmtId="3" fontId="2" fillId="0" borderId="20" xfId="0" applyNumberFormat="1" applyFont="1" applyBorder="1" applyAlignment="1" applyProtection="1">
      <alignment horizontal="right"/>
      <protection locked="0"/>
    </xf>
    <xf numFmtId="3" fontId="2" fillId="0" borderId="1" xfId="0" applyNumberFormat="1" applyFont="1" applyBorder="1" applyAlignment="1" applyProtection="1">
      <alignment horizontal="right"/>
      <protection locked="0"/>
    </xf>
    <xf numFmtId="3" fontId="2" fillId="0" borderId="21" xfId="0" applyNumberFormat="1" applyFont="1" applyBorder="1" applyAlignment="1" applyProtection="1">
      <alignment horizontal="right"/>
      <protection locked="0"/>
    </xf>
    <xf numFmtId="0" fontId="2" fillId="0" borderId="10" xfId="0" applyNumberFormat="1" applyFont="1" applyBorder="1" applyAlignment="1" applyProtection="1">
      <alignment horizontal="right"/>
      <protection locked="0"/>
    </xf>
    <xf numFmtId="0" fontId="2" fillId="0" borderId="11" xfId="0" applyNumberFormat="1" applyFont="1" applyBorder="1" applyAlignment="1" applyProtection="1">
      <alignment horizontal="right"/>
      <protection locked="0"/>
    </xf>
    <xf numFmtId="49" fontId="2" fillId="0" borderId="10" xfId="0" applyNumberFormat="1" applyFont="1" applyFill="1" applyBorder="1" applyAlignment="1" applyProtection="1">
      <alignment horizontal="left"/>
      <protection locked="0"/>
    </xf>
    <xf numFmtId="49" fontId="2" fillId="0" borderId="0" xfId="0" applyNumberFormat="1" applyFont="1" applyFill="1" applyBorder="1" applyAlignment="1" applyProtection="1">
      <alignment horizontal="left"/>
      <protection locked="0"/>
    </xf>
    <xf numFmtId="0" fontId="2" fillId="0" borderId="4" xfId="0" applyFont="1" applyBorder="1" applyAlignment="1"/>
    <xf numFmtId="0" fontId="2" fillId="0" borderId="5" xfId="0" applyFont="1" applyBorder="1" applyAlignment="1"/>
    <xf numFmtId="0" fontId="2" fillId="0" borderId="18" xfId="0" applyFont="1" applyBorder="1" applyAlignment="1"/>
    <xf numFmtId="0" fontId="2" fillId="0" borderId="6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19" xfId="0" applyFont="1" applyBorder="1" applyAlignment="1" applyProtection="1">
      <alignment horizontal="left"/>
      <protection locked="0"/>
    </xf>
    <xf numFmtId="0" fontId="2" fillId="0" borderId="4" xfId="0" applyFont="1" applyBorder="1" applyAlignment="1" applyProtection="1">
      <alignment horizontal="left"/>
      <protection locked="0"/>
    </xf>
    <xf numFmtId="0" fontId="2" fillId="0" borderId="5" xfId="0" applyFont="1" applyBorder="1" applyAlignment="1" applyProtection="1">
      <alignment horizontal="left"/>
      <protection locked="0"/>
    </xf>
    <xf numFmtId="0" fontId="2" fillId="0" borderId="18" xfId="0" applyFont="1" applyBorder="1" applyAlignment="1" applyProtection="1">
      <alignment horizontal="left"/>
      <protection locked="0"/>
    </xf>
    <xf numFmtId="3" fontId="2" fillId="0" borderId="0" xfId="0" applyNumberFormat="1" applyFont="1" applyFill="1" applyBorder="1" applyAlignment="1" applyProtection="1">
      <alignment horizontal="right"/>
      <protection hidden="1"/>
    </xf>
    <xf numFmtId="3" fontId="2" fillId="0" borderId="12" xfId="0" applyNumberFormat="1" applyFont="1" applyFill="1" applyBorder="1" applyAlignment="1" applyProtection="1">
      <alignment horizontal="right"/>
      <protection hidden="1"/>
    </xf>
    <xf numFmtId="3" fontId="2" fillId="0" borderId="10" xfId="0" applyNumberFormat="1" applyFont="1" applyFill="1" applyBorder="1" applyAlignment="1" applyProtection="1">
      <alignment horizontal="right"/>
      <protection locked="0"/>
    </xf>
    <xf numFmtId="3" fontId="0" fillId="0" borderId="0" xfId="0" applyNumberFormat="1" applyFont="1" applyAlignment="1" applyProtection="1">
      <alignment horizontal="right"/>
      <protection locked="0"/>
    </xf>
    <xf numFmtId="3" fontId="0" fillId="0" borderId="11" xfId="0" applyNumberFormat="1" applyFont="1" applyBorder="1" applyAlignment="1" applyProtection="1">
      <alignment horizontal="right"/>
      <protection locked="0"/>
    </xf>
    <xf numFmtId="0" fontId="2" fillId="0" borderId="10" xfId="0" applyNumberFormat="1" applyFont="1" applyFill="1" applyBorder="1" applyAlignment="1" applyProtection="1">
      <alignment horizontal="right"/>
      <protection locked="0"/>
    </xf>
    <xf numFmtId="0" fontId="2" fillId="0" borderId="11" xfId="0" applyNumberFormat="1" applyFont="1" applyFill="1" applyBorder="1" applyAlignment="1" applyProtection="1">
      <alignment horizontal="right"/>
      <protection locked="0"/>
    </xf>
    <xf numFmtId="49" fontId="2" fillId="0" borderId="0" xfId="0" applyNumberFormat="1" applyFont="1" applyFill="1" applyBorder="1" applyAlignment="1" applyProtection="1">
      <alignment horizontal="center"/>
      <protection locked="0"/>
    </xf>
    <xf numFmtId="3" fontId="2" fillId="0" borderId="10" xfId="0" applyNumberFormat="1" applyFont="1" applyFill="1" applyBorder="1" applyAlignment="1" applyProtection="1">
      <alignment horizontal="right"/>
      <protection hidden="1"/>
    </xf>
    <xf numFmtId="3" fontId="2" fillId="0" borderId="0" xfId="0" applyNumberFormat="1" applyFont="1" applyBorder="1" applyAlignment="1" applyProtection="1">
      <alignment horizontal="right"/>
      <protection hidden="1"/>
    </xf>
    <xf numFmtId="3" fontId="2" fillId="0" borderId="12" xfId="0" applyNumberFormat="1" applyFont="1" applyBorder="1" applyAlignment="1" applyProtection="1">
      <alignment horizontal="right"/>
      <protection hidden="1"/>
    </xf>
    <xf numFmtId="49" fontId="2" fillId="0" borderId="10" xfId="0" applyNumberFormat="1" applyFont="1" applyBorder="1" applyAlignment="1" applyProtection="1">
      <alignment horizontal="center"/>
      <protection locked="0"/>
    </xf>
    <xf numFmtId="49" fontId="2" fillId="0" borderId="11" xfId="0" applyNumberFormat="1" applyFont="1" applyBorder="1" applyAlignment="1" applyProtection="1">
      <alignment horizontal="center"/>
      <protection locked="0"/>
    </xf>
    <xf numFmtId="49" fontId="2" fillId="0" borderId="10" xfId="0" applyNumberFormat="1" applyFont="1" applyBorder="1" applyAlignment="1" applyProtection="1">
      <alignment horizontal="left"/>
      <protection locked="0"/>
    </xf>
    <xf numFmtId="49" fontId="2" fillId="0" borderId="0" xfId="0" applyNumberFormat="1" applyFont="1" applyBorder="1" applyAlignment="1" applyProtection="1">
      <alignment horizontal="left"/>
      <protection locked="0"/>
    </xf>
    <xf numFmtId="3" fontId="2" fillId="0" borderId="10" xfId="0" applyNumberFormat="1" applyFont="1" applyBorder="1" applyAlignment="1" applyProtection="1">
      <alignment horizontal="right"/>
      <protection locked="0"/>
    </xf>
    <xf numFmtId="3" fontId="2" fillId="0" borderId="0" xfId="0" applyNumberFormat="1" applyFont="1" applyBorder="1" applyAlignment="1" applyProtection="1">
      <alignment horizontal="right"/>
      <protection locked="0"/>
    </xf>
    <xf numFmtId="3" fontId="2" fillId="0" borderId="11" xfId="0" applyNumberFormat="1" applyFont="1" applyBorder="1" applyAlignment="1" applyProtection="1">
      <alignment horizontal="right"/>
      <protection locked="0"/>
    </xf>
    <xf numFmtId="49" fontId="2" fillId="0" borderId="0" xfId="0" applyNumberFormat="1" applyFont="1" applyFill="1" applyBorder="1" applyAlignment="1" applyProtection="1">
      <protection locked="0"/>
    </xf>
    <xf numFmtId="49" fontId="2" fillId="0" borderId="11" xfId="0" applyNumberFormat="1" applyFont="1" applyFill="1" applyBorder="1" applyAlignment="1" applyProtection="1">
      <protection locked="0"/>
    </xf>
    <xf numFmtId="49" fontId="2" fillId="0" borderId="0" xfId="0" applyNumberFormat="1" applyFont="1" applyBorder="1" applyAlignment="1" applyProtection="1">
      <protection locked="0"/>
    </xf>
    <xf numFmtId="49" fontId="2" fillId="0" borderId="11" xfId="0" applyNumberFormat="1" applyFont="1" applyBorder="1" applyAlignment="1" applyProtection="1">
      <protection locked="0"/>
    </xf>
    <xf numFmtId="0" fontId="4" fillId="0" borderId="5" xfId="0" applyFont="1" applyBorder="1" applyAlignment="1" applyProtection="1">
      <alignment horizontal="center"/>
      <protection locked="0"/>
    </xf>
    <xf numFmtId="0" fontId="4" fillId="0" borderId="5" xfId="0" applyFont="1" applyBorder="1" applyAlignment="1">
      <alignment horizontal="center"/>
    </xf>
    <xf numFmtId="5" fontId="5" fillId="0" borderId="0" xfId="0" applyNumberFormat="1" applyFont="1" applyAlignment="1" applyProtection="1">
      <alignment horizontal="center"/>
      <protection hidden="1"/>
    </xf>
    <xf numFmtId="5" fontId="5" fillId="0" borderId="5" xfId="0" applyNumberFormat="1" applyFont="1" applyBorder="1" applyAlignment="1" applyProtection="1">
      <alignment horizontal="center"/>
      <protection hidden="1"/>
    </xf>
    <xf numFmtId="5" fontId="9" fillId="0" borderId="15" xfId="0" applyNumberFormat="1" applyFont="1" applyBorder="1" applyAlignment="1" applyProtection="1">
      <alignment horizontal="right"/>
      <protection hidden="1"/>
    </xf>
    <xf numFmtId="5" fontId="9" fillId="0" borderId="5" xfId="0" applyNumberFormat="1" applyFont="1" applyBorder="1" applyAlignment="1" applyProtection="1">
      <alignment horizontal="right"/>
      <protection hidden="1"/>
    </xf>
    <xf numFmtId="5" fontId="9" fillId="0" borderId="18" xfId="0" applyNumberFormat="1" applyFont="1" applyBorder="1" applyAlignment="1" applyProtection="1">
      <alignment horizontal="right"/>
      <protection hidden="1"/>
    </xf>
    <xf numFmtId="0" fontId="2" fillId="0" borderId="0" xfId="0" applyFont="1" applyBorder="1" applyAlignment="1">
      <alignment horizontal="right"/>
    </xf>
    <xf numFmtId="49" fontId="3" fillId="0" borderId="0" xfId="1" applyNumberFormat="1" applyFont="1" applyAlignment="1" applyProtection="1">
      <alignment horizontal="left"/>
      <protection locked="0"/>
    </xf>
    <xf numFmtId="3" fontId="2" fillId="0" borderId="1" xfId="0" applyNumberFormat="1" applyFont="1" applyBorder="1" applyAlignment="1" applyProtection="1">
      <alignment horizontal="right"/>
      <protection hidden="1"/>
    </xf>
    <xf numFmtId="3" fontId="2" fillId="0" borderId="19" xfId="0" applyNumberFormat="1" applyFont="1" applyBorder="1" applyAlignment="1" applyProtection="1">
      <alignment horizontal="right"/>
      <protection hidden="1"/>
    </xf>
    <xf numFmtId="49" fontId="2" fillId="0" borderId="17" xfId="0" applyNumberFormat="1" applyFont="1" applyBorder="1" applyAlignment="1">
      <alignment horizontal="center"/>
    </xf>
    <xf numFmtId="49" fontId="2" fillId="0" borderId="14" xfId="0" applyNumberFormat="1" applyFont="1" applyBorder="1" applyAlignment="1">
      <alignment horizontal="center"/>
    </xf>
    <xf numFmtId="3" fontId="2" fillId="0" borderId="0" xfId="0" applyNumberFormat="1" applyFont="1" applyFill="1" applyBorder="1" applyAlignment="1" applyProtection="1">
      <alignment horizontal="right"/>
      <protection locked="0"/>
    </xf>
    <xf numFmtId="3" fontId="2" fillId="0" borderId="11" xfId="0" applyNumberFormat="1" applyFont="1" applyFill="1" applyBorder="1" applyAlignment="1" applyProtection="1">
      <alignment horizontal="right"/>
      <protection locked="0"/>
    </xf>
    <xf numFmtId="0" fontId="9" fillId="0" borderId="5" xfId="0" applyFont="1" applyBorder="1" applyAlignment="1">
      <alignment horizontal="right"/>
    </xf>
    <xf numFmtId="49" fontId="13" fillId="0" borderId="0" xfId="0" applyNumberFormat="1" applyFont="1" applyFill="1" applyBorder="1" applyAlignment="1" applyProtection="1">
      <alignment horizontal="center"/>
      <protection locked="0"/>
    </xf>
    <xf numFmtId="0" fontId="13" fillId="0" borderId="10" xfId="0" applyNumberFormat="1" applyFont="1" applyFill="1" applyBorder="1" applyAlignment="1" applyProtection="1">
      <alignment horizontal="right"/>
      <protection locked="0"/>
    </xf>
    <xf numFmtId="0" fontId="13" fillId="0" borderId="11" xfId="0" applyNumberFormat="1" applyFont="1" applyFill="1" applyBorder="1" applyAlignment="1" applyProtection="1">
      <alignment horizontal="right"/>
      <protection locked="0"/>
    </xf>
    <xf numFmtId="0" fontId="2" fillId="0" borderId="15" xfId="0" applyNumberFormat="1" applyFont="1" applyFill="1" applyBorder="1" applyAlignment="1" applyProtection="1">
      <alignment horizontal="right"/>
      <protection locked="0"/>
    </xf>
    <xf numFmtId="0" fontId="2" fillId="0" borderId="16" xfId="0" applyNumberFormat="1" applyFont="1" applyFill="1" applyBorder="1" applyAlignment="1" applyProtection="1">
      <alignment horizontal="right"/>
      <protection locked="0"/>
    </xf>
    <xf numFmtId="49" fontId="2" fillId="0" borderId="10" xfId="0" applyNumberFormat="1" applyFont="1" applyFill="1" applyBorder="1" applyAlignment="1" applyProtection="1">
      <alignment horizontal="center"/>
      <protection locked="0"/>
    </xf>
    <xf numFmtId="49" fontId="2" fillId="0" borderId="11" xfId="0" applyNumberFormat="1" applyFont="1" applyFill="1" applyBorder="1" applyAlignment="1" applyProtection="1">
      <alignment horizontal="center"/>
      <protection locked="0"/>
    </xf>
    <xf numFmtId="49" fontId="2" fillId="0" borderId="0" xfId="0" applyNumberFormat="1" applyFont="1" applyBorder="1" applyAlignment="1">
      <alignment horizontal="right"/>
    </xf>
    <xf numFmtId="49" fontId="2" fillId="0" borderId="11" xfId="0" applyNumberFormat="1" applyFont="1" applyBorder="1" applyAlignment="1">
      <alignment horizontal="right"/>
    </xf>
    <xf numFmtId="49" fontId="2" fillId="0" borderId="5" xfId="0" applyNumberFormat="1" applyFont="1" applyFill="1" applyBorder="1" applyAlignment="1" applyProtection="1">
      <alignment horizontal="right"/>
      <protection locked="0"/>
    </xf>
    <xf numFmtId="49" fontId="13" fillId="0" borderId="0" xfId="0" applyNumberFormat="1" applyFont="1" applyFill="1" applyBorder="1" applyAlignment="1" applyProtection="1">
      <protection locked="0"/>
    </xf>
    <xf numFmtId="49" fontId="13" fillId="0" borderId="11" xfId="0" applyNumberFormat="1" applyFont="1" applyFill="1" applyBorder="1" applyAlignment="1" applyProtection="1">
      <protection locked="0"/>
    </xf>
    <xf numFmtId="49" fontId="2" fillId="0" borderId="5" xfId="0" applyNumberFormat="1" applyFont="1" applyFill="1" applyBorder="1" applyAlignment="1" applyProtection="1">
      <protection locked="0"/>
    </xf>
    <xf numFmtId="49" fontId="2" fillId="0" borderId="16" xfId="0" applyNumberFormat="1" applyFont="1" applyFill="1" applyBorder="1" applyAlignment="1" applyProtection="1">
      <protection locked="0"/>
    </xf>
    <xf numFmtId="3" fontId="2" fillId="0" borderId="15" xfId="0" applyNumberFormat="1" applyFont="1" applyFill="1" applyBorder="1" applyAlignment="1" applyProtection="1">
      <alignment horizontal="right"/>
      <protection locked="0"/>
    </xf>
    <xf numFmtId="3" fontId="2" fillId="0" borderId="5" xfId="0" applyNumberFormat="1" applyFont="1" applyFill="1" applyBorder="1" applyAlignment="1" applyProtection="1">
      <alignment horizontal="right"/>
      <protection locked="0"/>
    </xf>
    <xf numFmtId="3" fontId="2" fillId="0" borderId="16" xfId="0" applyNumberFormat="1" applyFont="1" applyFill="1" applyBorder="1" applyAlignment="1" applyProtection="1">
      <alignment horizontal="right"/>
      <protection locked="0"/>
    </xf>
    <xf numFmtId="3" fontId="13" fillId="0" borderId="10" xfId="0" applyNumberFormat="1" applyFont="1" applyFill="1" applyBorder="1" applyAlignment="1" applyProtection="1">
      <alignment horizontal="right"/>
      <protection locked="0"/>
    </xf>
    <xf numFmtId="3" fontId="13" fillId="0" borderId="0" xfId="0" applyNumberFormat="1" applyFont="1" applyFill="1" applyBorder="1" applyAlignment="1" applyProtection="1">
      <alignment horizontal="right"/>
      <protection locked="0"/>
    </xf>
    <xf numFmtId="3" fontId="13" fillId="0" borderId="11" xfId="0" applyNumberFormat="1" applyFont="1" applyFill="1" applyBorder="1" applyAlignment="1" applyProtection="1">
      <alignment horizontal="right"/>
      <protection locked="0"/>
    </xf>
    <xf numFmtId="3" fontId="0" fillId="0" borderId="0" xfId="0" applyNumberFormat="1" applyFont="1" applyFill="1" applyAlignment="1" applyProtection="1">
      <alignment horizontal="right"/>
      <protection locked="0"/>
    </xf>
    <xf numFmtId="3" fontId="0" fillId="0" borderId="11" xfId="0" applyNumberFormat="1" applyFont="1" applyFill="1" applyBorder="1" applyAlignment="1" applyProtection="1">
      <alignment horizontal="right"/>
      <protection locked="0"/>
    </xf>
    <xf numFmtId="9" fontId="2" fillId="0" borderId="10" xfId="0" applyNumberFormat="1" applyFont="1" applyBorder="1" applyAlignment="1" applyProtection="1">
      <alignment horizontal="right"/>
      <protection hidden="1"/>
    </xf>
    <xf numFmtId="9" fontId="2" fillId="0" borderId="0" xfId="0" applyNumberFormat="1" applyFont="1" applyBorder="1" applyAlignment="1" applyProtection="1">
      <alignment horizontal="right"/>
      <protection hidden="1"/>
    </xf>
    <xf numFmtId="9" fontId="2" fillId="0" borderId="12" xfId="0" applyNumberFormat="1" applyFont="1" applyBorder="1" applyAlignment="1" applyProtection="1">
      <alignment horizontal="right"/>
      <protection hidden="1"/>
    </xf>
    <xf numFmtId="5" fontId="2" fillId="0" borderId="20" xfId="0" applyNumberFormat="1" applyFont="1" applyBorder="1" applyAlignment="1" applyProtection="1">
      <alignment horizontal="right"/>
      <protection hidden="1"/>
    </xf>
    <xf numFmtId="5" fontId="2" fillId="0" borderId="1" xfId="0" applyNumberFormat="1" applyFont="1" applyBorder="1" applyAlignment="1" applyProtection="1">
      <alignment horizontal="right"/>
      <protection hidden="1"/>
    </xf>
    <xf numFmtId="5" fontId="2" fillId="0" borderId="19" xfId="0" applyNumberFormat="1" applyFont="1" applyBorder="1" applyAlignment="1" applyProtection="1">
      <alignment horizontal="right"/>
      <protection hidden="1"/>
    </xf>
    <xf numFmtId="5" fontId="2" fillId="0" borderId="10" xfId="0" applyNumberFormat="1" applyFont="1" applyBorder="1" applyAlignment="1" applyProtection="1">
      <alignment horizontal="right"/>
      <protection hidden="1"/>
    </xf>
    <xf numFmtId="5" fontId="2" fillId="0" borderId="0" xfId="0" applyNumberFormat="1" applyFont="1" applyBorder="1" applyAlignment="1" applyProtection="1">
      <alignment horizontal="right"/>
      <protection hidden="1"/>
    </xf>
    <xf numFmtId="5" fontId="2" fillId="0" borderId="12" xfId="0" applyNumberFormat="1" applyFont="1" applyBorder="1" applyAlignment="1" applyProtection="1">
      <alignment horizontal="right"/>
      <protection hidden="1"/>
    </xf>
    <xf numFmtId="0" fontId="0" fillId="0" borderId="11" xfId="0" applyNumberFormat="1" applyFont="1" applyBorder="1" applyAlignment="1">
      <alignment horizontal="right"/>
    </xf>
    <xf numFmtId="49" fontId="2" fillId="0" borderId="10" xfId="0" applyNumberFormat="1" applyFont="1" applyFill="1" applyBorder="1" applyAlignment="1" applyProtection="1">
      <protection locked="0"/>
    </xf>
    <xf numFmtId="0" fontId="0" fillId="0" borderId="11" xfId="0" applyNumberFormat="1" applyFont="1" applyFill="1" applyBorder="1" applyAlignment="1">
      <alignment horizontal="right"/>
    </xf>
    <xf numFmtId="49" fontId="13" fillId="0" borderId="10" xfId="0" applyNumberFormat="1" applyFont="1" applyFill="1" applyBorder="1" applyAlignment="1" applyProtection="1">
      <protection locked="0"/>
    </xf>
    <xf numFmtId="49" fontId="2" fillId="0" borderId="15" xfId="0" applyNumberFormat="1" applyFont="1" applyFill="1" applyBorder="1" applyAlignment="1" applyProtection="1">
      <protection locked="0"/>
    </xf>
    <xf numFmtId="49" fontId="2" fillId="0" borderId="13" xfId="0" applyNumberFormat="1" applyFont="1" applyBorder="1" applyAlignment="1">
      <alignment horizontal="center"/>
    </xf>
    <xf numFmtId="3" fontId="2" fillId="0" borderId="10" xfId="0" applyNumberFormat="1" applyFont="1" applyBorder="1" applyAlignment="1" applyProtection="1">
      <alignment horizontal="right"/>
      <protection hidden="1"/>
    </xf>
    <xf numFmtId="49" fontId="2" fillId="0" borderId="1" xfId="0" applyNumberFormat="1" applyFont="1" applyBorder="1" applyAlignment="1" applyProtection="1">
      <protection locked="0"/>
    </xf>
    <xf numFmtId="49" fontId="2" fillId="0" borderId="21" xfId="0" applyNumberFormat="1" applyFont="1" applyBorder="1" applyAlignment="1" applyProtection="1">
      <protection locked="0"/>
    </xf>
  </cellXfs>
  <cellStyles count="16">
    <cellStyle name="ハイパーリンク" xfId="1" builtinId="8"/>
    <cellStyle name="標準" xfId="0" builtinId="0"/>
    <cellStyle name="表示済みのハイパーリンク" xfId="2" builtinId="9" hidden="1"/>
    <cellStyle name="表示済みのハイパーリンク" xfId="3" builtinId="9" hidden="1"/>
    <cellStyle name="表示済みのハイパーリンク" xfId="4" builtinId="9" hidden="1"/>
    <cellStyle name="表示済みのハイパーリンク" xfId="5" builtinId="9" hidden="1"/>
    <cellStyle name="表示済みのハイパーリンク" xfId="6" builtinId="9" hidden="1"/>
    <cellStyle name="表示済みのハイパーリンク" xfId="7" builtinId="9" hidden="1"/>
    <cellStyle name="表示済みのハイパーリンク" xfId="8" builtinId="9" hidden="1"/>
    <cellStyle name="表示済みのハイパーリンク" xfId="9" builtinId="9" hidden="1"/>
    <cellStyle name="表示済みのハイパーリンク" xfId="10" builtinId="9" hidden="1"/>
    <cellStyle name="表示済みのハイパーリンク" xfId="11" builtinId="9" hidden="1"/>
    <cellStyle name="表示済みのハイパーリンク" xfId="12" builtinId="9" hidden="1"/>
    <cellStyle name="表示済みのハイパーリンク" xfId="13" builtinId="9" hidden="1"/>
    <cellStyle name="表示済みのハイパーリンク" xfId="14" builtinId="9" hidden="1"/>
    <cellStyle name="表示済みのハイパーリンク" xfId="15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ouriro24@gmail.com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autoPageBreaks="0"/>
  </sheetPr>
  <dimension ref="A1:AL49"/>
  <sheetViews>
    <sheetView showZeros="0" tabSelected="1" view="pageLayout" topLeftCell="A10" workbookViewId="0">
      <selection activeCell="R9" sqref="R9:Z9"/>
    </sheetView>
  </sheetViews>
  <sheetFormatPr baseColWidth="12" defaultColWidth="3.6640625" defaultRowHeight="22.5" customHeight="1" x14ac:dyDescent="0"/>
  <cols>
    <col min="1" max="1" width="1.83203125" style="1" customWidth="1"/>
    <col min="2" max="2" width="4" style="1" bestFit="1" customWidth="1"/>
    <col min="3" max="16384" width="3.6640625" style="1"/>
  </cols>
  <sheetData>
    <row r="1" spans="1:26" ht="22.5" customHeight="1">
      <c r="B1" s="24" t="s">
        <v>55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spans="1:26" ht="15" customHeight="1">
      <c r="A2" s="1">
        <v>0</v>
      </c>
      <c r="S2" s="27" t="s">
        <v>16</v>
      </c>
      <c r="T2" s="27"/>
      <c r="U2" s="27"/>
      <c r="V2" s="34">
        <v>41833</v>
      </c>
      <c r="W2" s="34"/>
      <c r="X2" s="34"/>
      <c r="Y2" s="34"/>
      <c r="Z2" s="34"/>
    </row>
    <row r="3" spans="1:26" ht="15" customHeight="1">
      <c r="S3" s="23"/>
      <c r="T3" s="27" t="s">
        <v>12</v>
      </c>
      <c r="U3" s="27"/>
      <c r="V3" s="35">
        <v>26071301</v>
      </c>
      <c r="W3" s="35"/>
      <c r="X3" s="35"/>
      <c r="Y3" s="35"/>
      <c r="Z3" s="35"/>
    </row>
    <row r="4" spans="1:26" ht="22.5" customHeight="1">
      <c r="B4" s="36" t="s">
        <v>39</v>
      </c>
      <c r="C4" s="36"/>
      <c r="D4" s="36"/>
      <c r="E4" s="36"/>
      <c r="F4" s="36"/>
      <c r="G4" s="36"/>
      <c r="H4" s="36"/>
      <c r="I4" s="36"/>
      <c r="J4" s="36"/>
      <c r="K4" s="36"/>
      <c r="L4" s="36"/>
      <c r="M4" s="93" t="s">
        <v>2</v>
      </c>
      <c r="N4" s="93"/>
      <c r="O4" s="2"/>
      <c r="P4" s="2"/>
      <c r="Q4" s="12"/>
      <c r="R4" s="12"/>
      <c r="S4" s="12"/>
      <c r="T4" s="13"/>
      <c r="U4" s="13"/>
      <c r="V4" s="13"/>
      <c r="W4" s="13"/>
      <c r="X4" s="13"/>
      <c r="Y4" s="13"/>
      <c r="Z4" s="13"/>
    </row>
    <row r="5" spans="1:26" ht="15" customHeight="1">
      <c r="Q5" s="10"/>
      <c r="R5" s="10"/>
      <c r="S5" s="10"/>
      <c r="T5" s="12"/>
      <c r="U5" s="12"/>
      <c r="V5" s="12"/>
      <c r="W5" s="12"/>
      <c r="X5" s="12"/>
      <c r="Y5" s="12"/>
      <c r="Z5" s="12"/>
    </row>
    <row r="6" spans="1:26" ht="22.5" customHeight="1">
      <c r="B6" s="94" t="s">
        <v>41</v>
      </c>
      <c r="C6" s="94"/>
      <c r="D6" s="36" t="s">
        <v>40</v>
      </c>
      <c r="E6" s="36"/>
      <c r="F6" s="36"/>
      <c r="G6" s="36"/>
      <c r="H6" s="36"/>
      <c r="I6" s="36"/>
      <c r="J6" s="36"/>
      <c r="K6" s="36"/>
      <c r="L6" s="36"/>
      <c r="M6" s="36"/>
      <c r="N6" s="36"/>
    </row>
    <row r="7" spans="1:26" ht="22.5" customHeight="1">
      <c r="P7" s="25" t="s">
        <v>42</v>
      </c>
      <c r="Q7" s="25"/>
      <c r="R7" s="25"/>
      <c r="S7" s="25"/>
      <c r="T7" s="25"/>
      <c r="U7" s="25"/>
      <c r="V7" s="25"/>
      <c r="W7" s="25"/>
      <c r="X7" s="25"/>
      <c r="Y7" s="25"/>
      <c r="Z7" s="25"/>
    </row>
    <row r="8" spans="1:26" ht="15" customHeight="1">
      <c r="B8" s="31" t="s">
        <v>5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P8" s="26" t="s">
        <v>15</v>
      </c>
      <c r="Q8" s="26"/>
      <c r="R8" s="25" t="s">
        <v>43</v>
      </c>
      <c r="S8" s="25"/>
      <c r="T8" s="25"/>
      <c r="U8" s="25"/>
      <c r="V8" s="25"/>
      <c r="W8" s="25"/>
      <c r="X8" s="25"/>
      <c r="Y8" s="25"/>
      <c r="Z8" s="25"/>
    </row>
    <row r="9" spans="1:26" ht="15" customHeight="1">
      <c r="B9" s="39" t="s">
        <v>6</v>
      </c>
      <c r="C9" s="39"/>
      <c r="D9" s="39"/>
      <c r="E9" s="39"/>
      <c r="F9" s="95">
        <f>X37</f>
        <v>313000</v>
      </c>
      <c r="G9" s="95"/>
      <c r="H9" s="95"/>
      <c r="I9" s="95"/>
      <c r="J9" s="95"/>
      <c r="K9" s="14"/>
      <c r="P9" s="28" t="s">
        <v>3</v>
      </c>
      <c r="Q9" s="28"/>
      <c r="R9" s="25" t="s">
        <v>57</v>
      </c>
      <c r="S9" s="25"/>
      <c r="T9" s="25"/>
      <c r="U9" s="25"/>
      <c r="V9" s="25"/>
      <c r="W9" s="25"/>
      <c r="X9" s="25"/>
      <c r="Y9" s="25"/>
      <c r="Z9" s="25"/>
    </row>
    <row r="10" spans="1:26" ht="15" customHeight="1">
      <c r="B10" s="40"/>
      <c r="C10" s="40"/>
      <c r="D10" s="40"/>
      <c r="E10" s="40"/>
      <c r="F10" s="96"/>
      <c r="G10" s="96"/>
      <c r="H10" s="96"/>
      <c r="I10" s="96"/>
      <c r="J10" s="96"/>
      <c r="K10" s="8" t="s">
        <v>20</v>
      </c>
      <c r="P10" s="28"/>
      <c r="Q10" s="28"/>
      <c r="R10" s="25"/>
      <c r="S10" s="25"/>
      <c r="T10" s="25"/>
      <c r="U10" s="25"/>
      <c r="V10" s="25"/>
      <c r="W10" s="25"/>
      <c r="X10" s="25"/>
      <c r="Y10" s="25"/>
      <c r="Z10" s="25"/>
    </row>
    <row r="11" spans="1:26" ht="15" customHeight="1">
      <c r="D11" s="15"/>
      <c r="E11" s="15"/>
      <c r="F11" s="41" t="s">
        <v>17</v>
      </c>
      <c r="G11" s="41"/>
      <c r="H11" s="41"/>
      <c r="I11" s="38">
        <f>X39</f>
        <v>25040</v>
      </c>
      <c r="J11" s="38"/>
      <c r="P11" s="28" t="s">
        <v>4</v>
      </c>
      <c r="Q11" s="28"/>
      <c r="R11" s="25" t="s">
        <v>56</v>
      </c>
      <c r="S11" s="25"/>
      <c r="T11" s="25"/>
      <c r="U11" s="25"/>
      <c r="V11" s="37"/>
      <c r="W11" s="37"/>
      <c r="X11" s="25"/>
      <c r="Y11" s="25"/>
      <c r="Z11" s="25"/>
    </row>
    <row r="12" spans="1:26" ht="15" customHeight="1">
      <c r="P12" s="26" t="s">
        <v>14</v>
      </c>
      <c r="Q12" s="26"/>
      <c r="R12" s="101" t="s">
        <v>21</v>
      </c>
      <c r="S12" s="25"/>
      <c r="T12" s="25"/>
      <c r="U12" s="25"/>
      <c r="V12" s="25"/>
      <c r="W12" s="25"/>
      <c r="X12" s="25"/>
      <c r="Y12" s="25"/>
      <c r="Z12" s="25"/>
    </row>
    <row r="13" spans="1:26" ht="15" customHeight="1"/>
    <row r="14" spans="1:26" ht="18.75" customHeight="1">
      <c r="B14" s="16" t="s">
        <v>13</v>
      </c>
      <c r="C14" s="53" t="s">
        <v>24</v>
      </c>
      <c r="D14" s="51"/>
      <c r="E14" s="51"/>
      <c r="F14" s="51"/>
      <c r="G14" s="51" t="s">
        <v>23</v>
      </c>
      <c r="H14" s="51"/>
      <c r="I14" s="51"/>
      <c r="J14" s="51"/>
      <c r="K14" s="51"/>
      <c r="L14" s="51"/>
      <c r="M14" s="51"/>
      <c r="N14" s="51"/>
      <c r="O14" s="51"/>
      <c r="P14" s="52"/>
      <c r="Q14" s="104" t="s">
        <v>7</v>
      </c>
      <c r="R14" s="105"/>
      <c r="S14" s="104" t="s">
        <v>8</v>
      </c>
      <c r="T14" s="105"/>
      <c r="U14" s="104" t="s">
        <v>10</v>
      </c>
      <c r="V14" s="145"/>
      <c r="W14" s="105"/>
      <c r="X14" s="145" t="s">
        <v>9</v>
      </c>
      <c r="Y14" s="145"/>
      <c r="Z14" s="105"/>
    </row>
    <row r="15" spans="1:26" ht="15" customHeight="1">
      <c r="B15" s="17">
        <v>1</v>
      </c>
      <c r="C15" s="32" t="s">
        <v>44</v>
      </c>
      <c r="D15" s="33"/>
      <c r="E15" s="33"/>
      <c r="F15" s="33"/>
      <c r="G15" s="147" t="s">
        <v>26</v>
      </c>
      <c r="H15" s="147"/>
      <c r="I15" s="147"/>
      <c r="J15" s="147"/>
      <c r="K15" s="147"/>
      <c r="L15" s="147"/>
      <c r="M15" s="147"/>
      <c r="N15" s="147"/>
      <c r="O15" s="147"/>
      <c r="P15" s="148"/>
      <c r="Q15" s="29">
        <v>1</v>
      </c>
      <c r="R15" s="30"/>
      <c r="S15" s="54" t="s">
        <v>46</v>
      </c>
      <c r="T15" s="54"/>
      <c r="U15" s="55">
        <v>30000</v>
      </c>
      <c r="V15" s="56"/>
      <c r="W15" s="57"/>
      <c r="X15" s="102">
        <f>IF((Q15*U15)=0,"",Q15*U15)</f>
        <v>30000</v>
      </c>
      <c r="Y15" s="102"/>
      <c r="Z15" s="103"/>
    </row>
    <row r="16" spans="1:26" ht="15" customHeight="1">
      <c r="B16" s="18">
        <v>2</v>
      </c>
      <c r="C16" s="60"/>
      <c r="D16" s="61"/>
      <c r="E16" s="61"/>
      <c r="F16" s="61"/>
      <c r="G16" s="89" t="s">
        <v>34</v>
      </c>
      <c r="H16" s="89"/>
      <c r="I16" s="89"/>
      <c r="J16" s="89"/>
      <c r="K16" s="89"/>
      <c r="L16" s="89"/>
      <c r="M16" s="89"/>
      <c r="N16" s="89"/>
      <c r="O16" s="89"/>
      <c r="P16" s="90"/>
      <c r="Q16" s="76">
        <v>1</v>
      </c>
      <c r="R16" s="77"/>
      <c r="S16" s="78" t="s">
        <v>25</v>
      </c>
      <c r="T16" s="78"/>
      <c r="U16" s="73">
        <v>3000</v>
      </c>
      <c r="V16" s="106"/>
      <c r="W16" s="107"/>
      <c r="X16" s="79">
        <f t="shared" ref="X16:X25" si="0">IF((Q16*U16)=0,"",Q16*U16)</f>
        <v>3000</v>
      </c>
      <c r="Y16" s="71"/>
      <c r="Z16" s="72"/>
    </row>
    <row r="17" spans="2:38" ht="15" customHeight="1">
      <c r="B17" s="19">
        <v>3</v>
      </c>
      <c r="C17" s="84"/>
      <c r="D17" s="85"/>
      <c r="E17" s="85"/>
      <c r="F17" s="85"/>
      <c r="G17" s="91" t="s">
        <v>27</v>
      </c>
      <c r="H17" s="91"/>
      <c r="I17" s="91"/>
      <c r="J17" s="91"/>
      <c r="K17" s="91"/>
      <c r="L17" s="91"/>
      <c r="M17" s="91"/>
      <c r="N17" s="91"/>
      <c r="O17" s="91"/>
      <c r="P17" s="92"/>
      <c r="Q17" s="58">
        <v>1</v>
      </c>
      <c r="R17" s="59"/>
      <c r="S17" s="82" t="s">
        <v>25</v>
      </c>
      <c r="T17" s="83"/>
      <c r="U17" s="86">
        <v>40000</v>
      </c>
      <c r="V17" s="87"/>
      <c r="W17" s="88"/>
      <c r="X17" s="146">
        <f t="shared" si="0"/>
        <v>40000</v>
      </c>
      <c r="Y17" s="80"/>
      <c r="Z17" s="81"/>
    </row>
    <row r="18" spans="2:38" ht="15" customHeight="1">
      <c r="B18" s="18">
        <v>4</v>
      </c>
      <c r="C18" s="60"/>
      <c r="D18" s="61"/>
      <c r="E18" s="61"/>
      <c r="F18" s="61"/>
      <c r="G18" s="89" t="s">
        <v>45</v>
      </c>
      <c r="H18" s="89"/>
      <c r="I18" s="89"/>
      <c r="J18" s="89"/>
      <c r="K18" s="89"/>
      <c r="L18" s="89"/>
      <c r="M18" s="89"/>
      <c r="N18" s="89"/>
      <c r="O18" s="89"/>
      <c r="P18" s="90"/>
      <c r="Q18" s="76">
        <v>1</v>
      </c>
      <c r="R18" s="77"/>
      <c r="S18" s="78" t="s">
        <v>22</v>
      </c>
      <c r="T18" s="78"/>
      <c r="U18" s="73">
        <v>20000</v>
      </c>
      <c r="V18" s="106"/>
      <c r="W18" s="107"/>
      <c r="X18" s="79">
        <f t="shared" si="0"/>
        <v>20000</v>
      </c>
      <c r="Y18" s="71"/>
      <c r="Z18" s="72"/>
    </row>
    <row r="19" spans="2:38" ht="15" customHeight="1">
      <c r="B19" s="19">
        <v>5</v>
      </c>
      <c r="C19" s="84"/>
      <c r="D19" s="85"/>
      <c r="E19" s="85"/>
      <c r="F19" s="85"/>
      <c r="G19" s="91" t="s">
        <v>28</v>
      </c>
      <c r="H19" s="91"/>
      <c r="I19" s="91"/>
      <c r="J19" s="91"/>
      <c r="K19" s="91"/>
      <c r="L19" s="91"/>
      <c r="M19" s="91"/>
      <c r="N19" s="91"/>
      <c r="O19" s="91"/>
      <c r="P19" s="92"/>
      <c r="Q19" s="58">
        <v>1</v>
      </c>
      <c r="R19" s="59"/>
      <c r="S19" s="54" t="s">
        <v>22</v>
      </c>
      <c r="T19" s="54"/>
      <c r="U19" s="86">
        <v>15000</v>
      </c>
      <c r="V19" s="87"/>
      <c r="W19" s="88"/>
      <c r="X19" s="80">
        <f t="shared" si="0"/>
        <v>15000</v>
      </c>
      <c r="Y19" s="80"/>
      <c r="Z19" s="81"/>
    </row>
    <row r="20" spans="2:38" ht="15" customHeight="1">
      <c r="B20" s="18">
        <v>6</v>
      </c>
      <c r="C20" s="60"/>
      <c r="D20" s="61"/>
      <c r="E20" s="61"/>
      <c r="F20" s="61"/>
      <c r="G20" s="89" t="s">
        <v>29</v>
      </c>
      <c r="H20" s="89"/>
      <c r="I20" s="89"/>
      <c r="J20" s="89"/>
      <c r="K20" s="89"/>
      <c r="L20" s="89"/>
      <c r="M20" s="89"/>
      <c r="N20" s="89"/>
      <c r="O20" s="89"/>
      <c r="P20" s="90"/>
      <c r="Q20" s="76">
        <v>1</v>
      </c>
      <c r="R20" s="77"/>
      <c r="S20" s="78" t="s">
        <v>22</v>
      </c>
      <c r="T20" s="78"/>
      <c r="U20" s="73">
        <v>15000</v>
      </c>
      <c r="V20" s="106"/>
      <c r="W20" s="107"/>
      <c r="X20" s="79">
        <f t="shared" si="0"/>
        <v>15000</v>
      </c>
      <c r="Y20" s="71"/>
      <c r="Z20" s="72"/>
    </row>
    <row r="21" spans="2:38" ht="15" customHeight="1">
      <c r="B21" s="19">
        <v>7</v>
      </c>
      <c r="C21" s="84"/>
      <c r="D21" s="85"/>
      <c r="E21" s="85"/>
      <c r="F21" s="85"/>
      <c r="G21" s="91" t="s">
        <v>30</v>
      </c>
      <c r="H21" s="91"/>
      <c r="I21" s="91"/>
      <c r="J21" s="91"/>
      <c r="K21" s="91"/>
      <c r="L21" s="91"/>
      <c r="M21" s="91"/>
      <c r="N21" s="91"/>
      <c r="O21" s="91"/>
      <c r="P21" s="92"/>
      <c r="Q21" s="58">
        <v>1</v>
      </c>
      <c r="R21" s="59"/>
      <c r="S21" s="54" t="s">
        <v>22</v>
      </c>
      <c r="T21" s="54"/>
      <c r="U21" s="86">
        <v>5000</v>
      </c>
      <c r="V21" s="87"/>
      <c r="W21" s="88"/>
      <c r="X21" s="80">
        <f t="shared" si="0"/>
        <v>5000</v>
      </c>
      <c r="Y21" s="80"/>
      <c r="Z21" s="81"/>
    </row>
    <row r="22" spans="2:38" ht="15" customHeight="1">
      <c r="B22" s="18"/>
      <c r="C22" s="60"/>
      <c r="D22" s="61"/>
      <c r="E22" s="61"/>
      <c r="F22" s="61"/>
      <c r="G22" s="89"/>
      <c r="H22" s="89"/>
      <c r="I22" s="89"/>
      <c r="J22" s="89"/>
      <c r="K22" s="89"/>
      <c r="L22" s="89"/>
      <c r="M22" s="89"/>
      <c r="N22" s="89"/>
      <c r="O22" s="89"/>
      <c r="P22" s="90"/>
      <c r="Q22" s="76"/>
      <c r="R22" s="77"/>
      <c r="S22" s="78"/>
      <c r="T22" s="78"/>
      <c r="U22" s="73"/>
      <c r="V22" s="106"/>
      <c r="W22" s="107"/>
      <c r="X22" s="79" t="str">
        <f t="shared" si="0"/>
        <v/>
      </c>
      <c r="Y22" s="71"/>
      <c r="Z22" s="72"/>
    </row>
    <row r="23" spans="2:38" ht="15" customHeight="1">
      <c r="B23" s="19">
        <v>8</v>
      </c>
      <c r="C23" s="84" t="s">
        <v>50</v>
      </c>
      <c r="D23" s="85"/>
      <c r="E23" s="85"/>
      <c r="F23" s="85"/>
      <c r="G23" s="91" t="s">
        <v>47</v>
      </c>
      <c r="H23" s="91"/>
      <c r="I23" s="91"/>
      <c r="J23" s="91"/>
      <c r="K23" s="91"/>
      <c r="L23" s="91"/>
      <c r="M23" s="91"/>
      <c r="N23" s="91"/>
      <c r="O23" s="91"/>
      <c r="P23" s="92"/>
      <c r="Q23" s="58">
        <v>1</v>
      </c>
      <c r="R23" s="59"/>
      <c r="S23" s="54" t="s">
        <v>46</v>
      </c>
      <c r="T23" s="54"/>
      <c r="U23" s="86">
        <v>80000</v>
      </c>
      <c r="V23" s="87"/>
      <c r="W23" s="88"/>
      <c r="X23" s="80">
        <f t="shared" si="0"/>
        <v>80000</v>
      </c>
      <c r="Y23" s="80"/>
      <c r="Z23" s="81"/>
    </row>
    <row r="24" spans="2:38" ht="15" customHeight="1">
      <c r="B24" s="18">
        <v>9</v>
      </c>
      <c r="C24" s="60"/>
      <c r="D24" s="61"/>
      <c r="E24" s="61"/>
      <c r="F24" s="61"/>
      <c r="G24" s="89" t="s">
        <v>31</v>
      </c>
      <c r="H24" s="89"/>
      <c r="I24" s="89"/>
      <c r="J24" s="89"/>
      <c r="K24" s="89"/>
      <c r="L24" s="89"/>
      <c r="M24" s="89"/>
      <c r="N24" s="89"/>
      <c r="O24" s="89"/>
      <c r="P24" s="90"/>
      <c r="Q24" s="76">
        <v>1</v>
      </c>
      <c r="R24" s="77"/>
      <c r="S24" s="78" t="s">
        <v>22</v>
      </c>
      <c r="T24" s="78"/>
      <c r="U24" s="73">
        <v>30000</v>
      </c>
      <c r="V24" s="106"/>
      <c r="W24" s="107"/>
      <c r="X24" s="79">
        <f t="shared" si="0"/>
        <v>30000</v>
      </c>
      <c r="Y24" s="71"/>
      <c r="Z24" s="72"/>
    </row>
    <row r="25" spans="2:38" ht="15" customHeight="1">
      <c r="B25" s="19">
        <v>10</v>
      </c>
      <c r="C25" s="84"/>
      <c r="D25" s="85"/>
      <c r="E25" s="85"/>
      <c r="F25" s="85"/>
      <c r="G25" s="91" t="s">
        <v>48</v>
      </c>
      <c r="H25" s="91"/>
      <c r="I25" s="91"/>
      <c r="J25" s="91"/>
      <c r="K25" s="91"/>
      <c r="L25" s="91"/>
      <c r="M25" s="91"/>
      <c r="N25" s="91"/>
      <c r="O25" s="91"/>
      <c r="P25" s="92"/>
      <c r="Q25" s="58">
        <v>1</v>
      </c>
      <c r="R25" s="59"/>
      <c r="S25" s="54" t="s">
        <v>22</v>
      </c>
      <c r="T25" s="54"/>
      <c r="U25" s="86">
        <v>20000</v>
      </c>
      <c r="V25" s="87"/>
      <c r="W25" s="88"/>
      <c r="X25" s="80">
        <f t="shared" si="0"/>
        <v>20000</v>
      </c>
      <c r="Y25" s="80"/>
      <c r="Z25" s="81"/>
    </row>
    <row r="26" spans="2:38" ht="15" customHeight="1">
      <c r="B26" s="19">
        <v>11</v>
      </c>
      <c r="C26" s="84"/>
      <c r="D26" s="85"/>
      <c r="E26" s="85"/>
      <c r="F26" s="85"/>
      <c r="G26" s="91" t="s">
        <v>32</v>
      </c>
      <c r="H26" s="91"/>
      <c r="I26" s="91"/>
      <c r="J26" s="91"/>
      <c r="K26" s="91"/>
      <c r="L26" s="91"/>
      <c r="M26" s="91"/>
      <c r="N26" s="91"/>
      <c r="O26" s="91"/>
      <c r="P26" s="92"/>
      <c r="Q26" s="58">
        <v>1</v>
      </c>
      <c r="R26" s="59"/>
      <c r="S26" s="54" t="s">
        <v>22</v>
      </c>
      <c r="T26" s="54"/>
      <c r="U26" s="86">
        <v>50000</v>
      </c>
      <c r="V26" s="87"/>
      <c r="W26" s="88"/>
      <c r="X26" s="80">
        <f t="shared" ref="X26:X36" si="1">IF((Q26*U26)=0,"",Q26*U26)</f>
        <v>50000</v>
      </c>
      <c r="Y26" s="80"/>
      <c r="Z26" s="81"/>
    </row>
    <row r="27" spans="2:38" ht="15" customHeight="1">
      <c r="B27" s="18">
        <v>12</v>
      </c>
      <c r="C27" s="60"/>
      <c r="D27" s="61"/>
      <c r="E27" s="61"/>
      <c r="F27" s="61"/>
      <c r="G27" s="89" t="s">
        <v>33</v>
      </c>
      <c r="H27" s="89"/>
      <c r="I27" s="89"/>
      <c r="J27" s="89"/>
      <c r="K27" s="89"/>
      <c r="L27" s="89"/>
      <c r="M27" s="89"/>
      <c r="N27" s="89"/>
      <c r="O27" s="89"/>
      <c r="P27" s="90"/>
      <c r="Q27" s="76">
        <v>1</v>
      </c>
      <c r="R27" s="77"/>
      <c r="S27" s="78" t="s">
        <v>49</v>
      </c>
      <c r="T27" s="78"/>
      <c r="U27" s="73">
        <v>5000</v>
      </c>
      <c r="V27" s="106"/>
      <c r="W27" s="107"/>
      <c r="X27" s="71">
        <f t="shared" si="1"/>
        <v>5000</v>
      </c>
      <c r="Y27" s="71"/>
      <c r="Z27" s="72"/>
    </row>
    <row r="28" spans="2:38" ht="15" customHeight="1">
      <c r="B28" s="18"/>
      <c r="C28" s="60"/>
      <c r="D28" s="61"/>
      <c r="E28" s="61"/>
      <c r="F28" s="61"/>
      <c r="G28" s="89"/>
      <c r="H28" s="89"/>
      <c r="I28" s="89"/>
      <c r="J28" s="89"/>
      <c r="K28" s="89"/>
      <c r="L28" s="89"/>
      <c r="M28" s="89"/>
      <c r="N28" s="89"/>
      <c r="O28" s="89"/>
      <c r="P28" s="90"/>
      <c r="Q28" s="76"/>
      <c r="R28" s="77"/>
      <c r="S28" s="114"/>
      <c r="T28" s="115"/>
      <c r="U28" s="73"/>
      <c r="V28" s="106"/>
      <c r="W28" s="107"/>
      <c r="X28" s="80" t="str">
        <f t="shared" si="1"/>
        <v/>
      </c>
      <c r="Y28" s="80"/>
      <c r="Z28" s="81"/>
    </row>
    <row r="29" spans="2:38" ht="15" customHeight="1">
      <c r="B29" s="18"/>
      <c r="C29" s="141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90"/>
      <c r="Q29" s="76"/>
      <c r="R29" s="140"/>
      <c r="S29" s="114"/>
      <c r="T29" s="115"/>
      <c r="U29" s="73"/>
      <c r="V29" s="74"/>
      <c r="W29" s="75"/>
      <c r="X29" s="80" t="str">
        <f t="shared" si="1"/>
        <v/>
      </c>
      <c r="Y29" s="80"/>
      <c r="Z29" s="81"/>
    </row>
    <row r="30" spans="2:38" ht="15" customHeight="1">
      <c r="B30" s="18"/>
      <c r="C30" s="141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90"/>
      <c r="Q30" s="76"/>
      <c r="R30" s="142"/>
      <c r="S30" s="114"/>
      <c r="T30" s="115"/>
      <c r="U30" s="73"/>
      <c r="V30" s="129"/>
      <c r="W30" s="130"/>
      <c r="X30" s="71" t="str">
        <f t="shared" si="1"/>
        <v/>
      </c>
      <c r="Y30" s="71"/>
      <c r="Z30" s="72"/>
      <c r="AC30" s="9"/>
      <c r="AD30" s="10"/>
      <c r="AE30" s="10"/>
      <c r="AF30" s="10"/>
      <c r="AG30" s="10"/>
      <c r="AH30" s="11"/>
      <c r="AI30" s="11"/>
      <c r="AJ30" s="11"/>
      <c r="AK30" s="11"/>
      <c r="AL30" s="11"/>
    </row>
    <row r="31" spans="2:38" ht="15" customHeight="1">
      <c r="B31" s="18"/>
      <c r="C31" s="141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90"/>
      <c r="Q31" s="76"/>
      <c r="R31" s="140"/>
      <c r="S31" s="114"/>
      <c r="T31" s="115"/>
      <c r="U31" s="73"/>
      <c r="V31" s="74"/>
      <c r="W31" s="75"/>
      <c r="X31" s="80" t="str">
        <f t="shared" si="1"/>
        <v/>
      </c>
      <c r="Y31" s="80"/>
      <c r="Z31" s="81"/>
      <c r="AC31" s="9"/>
      <c r="AD31" s="10"/>
      <c r="AE31" s="10"/>
      <c r="AF31" s="10"/>
      <c r="AG31" s="10"/>
      <c r="AH31" s="11"/>
      <c r="AI31" s="11"/>
      <c r="AJ31" s="11"/>
      <c r="AK31" s="11"/>
      <c r="AL31" s="11"/>
    </row>
    <row r="32" spans="2:38" ht="15" customHeight="1">
      <c r="B32" s="18"/>
      <c r="C32" s="141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90"/>
      <c r="Q32" s="76"/>
      <c r="R32" s="77"/>
      <c r="S32" s="78"/>
      <c r="T32" s="78"/>
      <c r="U32" s="73"/>
      <c r="V32" s="106"/>
      <c r="W32" s="107"/>
      <c r="X32" s="71" t="str">
        <f>IF((Q32*U32)=0,"",Q32*U32)</f>
        <v/>
      </c>
      <c r="Y32" s="71"/>
      <c r="Z32" s="72"/>
      <c r="AC32" s="9"/>
      <c r="AD32" s="10"/>
      <c r="AE32" s="10"/>
      <c r="AF32" s="10"/>
      <c r="AG32" s="10"/>
      <c r="AH32" s="11"/>
      <c r="AI32" s="11"/>
      <c r="AJ32" s="11"/>
      <c r="AK32" s="11"/>
      <c r="AL32" s="11"/>
    </row>
    <row r="33" spans="2:38" ht="15" customHeight="1">
      <c r="B33" s="18"/>
      <c r="C33" s="141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90"/>
      <c r="Q33" s="76"/>
      <c r="R33" s="140"/>
      <c r="S33" s="114"/>
      <c r="T33" s="115"/>
      <c r="U33" s="73"/>
      <c r="V33" s="74"/>
      <c r="W33" s="75"/>
      <c r="X33" s="71" t="str">
        <f>IF((Q33*U33)=0,"",Q33*U33)</f>
        <v/>
      </c>
      <c r="Y33" s="71"/>
      <c r="Z33" s="72"/>
      <c r="AC33" s="9"/>
      <c r="AD33" s="10"/>
      <c r="AE33" s="10"/>
      <c r="AF33" s="10"/>
      <c r="AG33" s="10"/>
      <c r="AH33" s="11"/>
      <c r="AI33" s="11"/>
      <c r="AJ33" s="11"/>
      <c r="AK33" s="11"/>
      <c r="AL33" s="11"/>
    </row>
    <row r="34" spans="2:38" ht="15" customHeight="1">
      <c r="B34" s="18"/>
      <c r="C34" s="141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90"/>
      <c r="Q34" s="76"/>
      <c r="R34" s="77"/>
      <c r="S34" s="114"/>
      <c r="T34" s="115"/>
      <c r="U34" s="73"/>
      <c r="V34" s="129"/>
      <c r="W34" s="130"/>
      <c r="X34" s="71" t="str">
        <f>IF((Q34*U34)=0,"",Q34*U34)</f>
        <v/>
      </c>
      <c r="Y34" s="71"/>
      <c r="Z34" s="72"/>
      <c r="AC34" s="9"/>
      <c r="AD34" s="10"/>
      <c r="AE34" s="10"/>
      <c r="AF34" s="10"/>
      <c r="AG34" s="10"/>
      <c r="AH34" s="11"/>
      <c r="AI34" s="11"/>
      <c r="AJ34" s="11"/>
      <c r="AK34" s="11"/>
      <c r="AL34" s="11"/>
    </row>
    <row r="35" spans="2:38" ht="15" customHeight="1">
      <c r="B35" s="20"/>
      <c r="C35" s="143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20"/>
      <c r="Q35" s="110"/>
      <c r="R35" s="111"/>
      <c r="S35" s="109"/>
      <c r="T35" s="109"/>
      <c r="U35" s="126"/>
      <c r="V35" s="127"/>
      <c r="W35" s="128"/>
      <c r="X35" s="71" t="str">
        <f>IF((Q35*U35)=0,"",Q35*U35)</f>
        <v/>
      </c>
      <c r="Y35" s="71"/>
      <c r="Z35" s="72"/>
      <c r="AC35" s="10"/>
      <c r="AD35" s="10"/>
      <c r="AE35" s="10"/>
      <c r="AF35" s="10"/>
      <c r="AG35" s="10"/>
      <c r="AH35" s="11"/>
      <c r="AI35" s="11"/>
      <c r="AJ35" s="11"/>
      <c r="AK35" s="11"/>
      <c r="AL35" s="11"/>
    </row>
    <row r="36" spans="2:38" ht="15" customHeight="1">
      <c r="B36" s="21"/>
      <c r="C36" s="144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2"/>
      <c r="Q36" s="112"/>
      <c r="R36" s="113"/>
      <c r="S36" s="118"/>
      <c r="T36" s="118"/>
      <c r="U36" s="123"/>
      <c r="V36" s="124"/>
      <c r="W36" s="125"/>
      <c r="X36" s="71" t="str">
        <f t="shared" si="1"/>
        <v/>
      </c>
      <c r="Y36" s="71"/>
      <c r="Z36" s="72"/>
      <c r="AC36" s="9"/>
      <c r="AD36" s="10"/>
      <c r="AE36" s="10"/>
      <c r="AF36" s="10"/>
      <c r="AG36" s="10"/>
      <c r="AH36" s="11"/>
      <c r="AI36" s="11"/>
      <c r="AJ36" s="11"/>
      <c r="AK36" s="11"/>
      <c r="AL36" s="11"/>
    </row>
    <row r="37" spans="2:38" ht="15" customHeight="1"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100" t="s">
        <v>0</v>
      </c>
      <c r="V37" s="100"/>
      <c r="W37" s="100"/>
      <c r="X37" s="134">
        <f>IF(SUM(X15:Z36)=0,"0",SUM(X15:Z36))</f>
        <v>313000</v>
      </c>
      <c r="Y37" s="135"/>
      <c r="Z37" s="136"/>
      <c r="AC37" s="10"/>
      <c r="AD37" s="10"/>
      <c r="AE37" s="10"/>
      <c r="AF37" s="10"/>
      <c r="AG37" s="10"/>
      <c r="AH37" s="11"/>
      <c r="AI37" s="10"/>
      <c r="AJ37" s="10"/>
      <c r="AK37" s="10"/>
      <c r="AL37" s="10"/>
    </row>
    <row r="38" spans="2:38" ht="15" customHeight="1"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116" t="s">
        <v>18</v>
      </c>
      <c r="V38" s="116"/>
      <c r="W38" s="117"/>
      <c r="X38" s="131">
        <v>0.08</v>
      </c>
      <c r="Y38" s="132"/>
      <c r="Z38" s="133"/>
    </row>
    <row r="39" spans="2:38" ht="15" customHeight="1"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100" t="s">
        <v>19</v>
      </c>
      <c r="V39" s="100"/>
      <c r="W39" s="100"/>
      <c r="X39" s="137">
        <f>INT((X37*X38))/1</f>
        <v>25040</v>
      </c>
      <c r="Y39" s="138"/>
      <c r="Z39" s="139"/>
    </row>
    <row r="40" spans="2:38" ht="15" customHeight="1"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108" t="s">
        <v>1</v>
      </c>
      <c r="V40" s="108"/>
      <c r="W40" s="108"/>
      <c r="X40" s="97">
        <f>IF(X37="","",SUM(X37:Z39))</f>
        <v>338040.08</v>
      </c>
      <c r="Y40" s="98"/>
      <c r="Z40" s="99"/>
    </row>
    <row r="41" spans="2:38" ht="7.5" customHeight="1"/>
    <row r="42" spans="2:38" ht="15" customHeight="1">
      <c r="B42" s="22" t="s">
        <v>11</v>
      </c>
      <c r="C42" s="7"/>
      <c r="D42" s="66"/>
      <c r="E42" s="66"/>
      <c r="F42" s="66"/>
      <c r="G42" s="66"/>
      <c r="H42" s="66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  <c r="Y42" s="66"/>
      <c r="Z42" s="67"/>
    </row>
    <row r="43" spans="2:38" ht="15" customHeight="1">
      <c r="B43" s="48" t="s">
        <v>35</v>
      </c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50"/>
    </row>
    <row r="44" spans="2:38" ht="15" customHeight="1">
      <c r="B44" s="48" t="s">
        <v>51</v>
      </c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50"/>
    </row>
    <row r="45" spans="2:38" ht="15" customHeight="1">
      <c r="B45" s="48" t="s">
        <v>53</v>
      </c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50"/>
    </row>
    <row r="46" spans="2:38" ht="15" customHeight="1">
      <c r="B46" s="48" t="s">
        <v>54</v>
      </c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50"/>
    </row>
    <row r="47" spans="2:38" ht="18.75" customHeight="1">
      <c r="B47" s="62"/>
      <c r="C47" s="63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4"/>
    </row>
    <row r="48" spans="2:38" ht="18.75" customHeight="1">
      <c r="B48" s="42" t="s">
        <v>36</v>
      </c>
      <c r="C48" s="43"/>
      <c r="D48" s="43"/>
      <c r="E48" s="44"/>
      <c r="F48" s="65" t="s">
        <v>37</v>
      </c>
      <c r="G48" s="66"/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  <c r="Y48" s="66"/>
      <c r="Z48" s="67"/>
    </row>
    <row r="49" spans="2:26" ht="18.75" customHeight="1">
      <c r="B49" s="45" t="s">
        <v>38</v>
      </c>
      <c r="C49" s="46"/>
      <c r="D49" s="46"/>
      <c r="E49" s="47"/>
      <c r="F49" s="68" t="s">
        <v>52</v>
      </c>
      <c r="G49" s="69"/>
      <c r="H49" s="69"/>
      <c r="I49" s="69"/>
      <c r="J49" s="69"/>
      <c r="K49" s="69"/>
      <c r="L49" s="69"/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69"/>
      <c r="Y49" s="69"/>
      <c r="Z49" s="70"/>
    </row>
  </sheetData>
  <mergeCells count="183">
    <mergeCell ref="C25:F25"/>
    <mergeCell ref="Q24:R24"/>
    <mergeCell ref="X14:Z14"/>
    <mergeCell ref="Q21:R21"/>
    <mergeCell ref="U14:W14"/>
    <mergeCell ref="U16:W16"/>
    <mergeCell ref="U17:W17"/>
    <mergeCell ref="U18:W18"/>
    <mergeCell ref="U19:W19"/>
    <mergeCell ref="Q25:R25"/>
    <mergeCell ref="X16:Z16"/>
    <mergeCell ref="X17:Z17"/>
    <mergeCell ref="U21:W21"/>
    <mergeCell ref="U22:W22"/>
    <mergeCell ref="Q23:R23"/>
    <mergeCell ref="S19:T19"/>
    <mergeCell ref="S20:T20"/>
    <mergeCell ref="Q19:R19"/>
    <mergeCell ref="X25:Z25"/>
    <mergeCell ref="G15:P15"/>
    <mergeCell ref="G16:P16"/>
    <mergeCell ref="G17:P17"/>
    <mergeCell ref="G18:P18"/>
    <mergeCell ref="G19:P19"/>
    <mergeCell ref="C34:F34"/>
    <mergeCell ref="C35:F35"/>
    <mergeCell ref="C36:F36"/>
    <mergeCell ref="G31:P31"/>
    <mergeCell ref="G32:P32"/>
    <mergeCell ref="G33:P33"/>
    <mergeCell ref="X26:Z26"/>
    <mergeCell ref="X28:Z28"/>
    <mergeCell ref="S29:T29"/>
    <mergeCell ref="S30:T30"/>
    <mergeCell ref="X29:Z29"/>
    <mergeCell ref="U29:W29"/>
    <mergeCell ref="U30:W30"/>
    <mergeCell ref="X30:Z30"/>
    <mergeCell ref="U28:W28"/>
    <mergeCell ref="U26:W26"/>
    <mergeCell ref="U27:W27"/>
    <mergeCell ref="X31:Z31"/>
    <mergeCell ref="X33:Z33"/>
    <mergeCell ref="S31:T31"/>
    <mergeCell ref="S33:T33"/>
    <mergeCell ref="X32:Z32"/>
    <mergeCell ref="U32:W32"/>
    <mergeCell ref="Q31:R31"/>
    <mergeCell ref="Q33:R33"/>
    <mergeCell ref="C28:F28"/>
    <mergeCell ref="C29:F29"/>
    <mergeCell ref="C30:F30"/>
    <mergeCell ref="C31:F31"/>
    <mergeCell ref="C32:F32"/>
    <mergeCell ref="S32:T32"/>
    <mergeCell ref="Q29:R29"/>
    <mergeCell ref="Q30:R30"/>
    <mergeCell ref="Q28:R28"/>
    <mergeCell ref="S28:T28"/>
    <mergeCell ref="G28:P28"/>
    <mergeCell ref="G29:P29"/>
    <mergeCell ref="G30:P30"/>
    <mergeCell ref="C33:F33"/>
    <mergeCell ref="B45:Z45"/>
    <mergeCell ref="U39:W39"/>
    <mergeCell ref="U40:W40"/>
    <mergeCell ref="X35:Z35"/>
    <mergeCell ref="X36:Z36"/>
    <mergeCell ref="S35:T35"/>
    <mergeCell ref="Q35:R35"/>
    <mergeCell ref="Q36:R36"/>
    <mergeCell ref="Q32:R32"/>
    <mergeCell ref="S34:T34"/>
    <mergeCell ref="U38:W38"/>
    <mergeCell ref="S36:T36"/>
    <mergeCell ref="Q34:R34"/>
    <mergeCell ref="G34:P34"/>
    <mergeCell ref="G35:P35"/>
    <mergeCell ref="G36:P36"/>
    <mergeCell ref="X34:Z34"/>
    <mergeCell ref="U36:W36"/>
    <mergeCell ref="U35:W35"/>
    <mergeCell ref="U33:W33"/>
    <mergeCell ref="U34:W34"/>
    <mergeCell ref="X38:Z38"/>
    <mergeCell ref="X37:Z37"/>
    <mergeCell ref="X39:Z39"/>
    <mergeCell ref="M4:N4"/>
    <mergeCell ref="B6:C6"/>
    <mergeCell ref="D6:N6"/>
    <mergeCell ref="F9:J10"/>
    <mergeCell ref="X40:Z40"/>
    <mergeCell ref="U37:W37"/>
    <mergeCell ref="B43:Z43"/>
    <mergeCell ref="D42:Z42"/>
    <mergeCell ref="R12:Z12"/>
    <mergeCell ref="X15:Z15"/>
    <mergeCell ref="C18:F18"/>
    <mergeCell ref="Q14:R14"/>
    <mergeCell ref="S14:T14"/>
    <mergeCell ref="S25:T25"/>
    <mergeCell ref="S26:T26"/>
    <mergeCell ref="S27:T27"/>
    <mergeCell ref="X21:Z21"/>
    <mergeCell ref="X22:Z22"/>
    <mergeCell ref="X23:Z23"/>
    <mergeCell ref="X24:Z24"/>
    <mergeCell ref="Q22:R22"/>
    <mergeCell ref="U23:W23"/>
    <mergeCell ref="U24:W24"/>
    <mergeCell ref="U20:W20"/>
    <mergeCell ref="S17:T17"/>
    <mergeCell ref="C17:F17"/>
    <mergeCell ref="C27:F27"/>
    <mergeCell ref="Q26:R26"/>
    <mergeCell ref="Q27:R27"/>
    <mergeCell ref="U25:W25"/>
    <mergeCell ref="Q20:R20"/>
    <mergeCell ref="Q18:R18"/>
    <mergeCell ref="S18:T18"/>
    <mergeCell ref="C26:F26"/>
    <mergeCell ref="G24:P24"/>
    <mergeCell ref="G25:P25"/>
    <mergeCell ref="G26:P26"/>
    <mergeCell ref="G27:P27"/>
    <mergeCell ref="C19:F19"/>
    <mergeCell ref="C20:F20"/>
    <mergeCell ref="C21:F21"/>
    <mergeCell ref="C22:F22"/>
    <mergeCell ref="C23:F23"/>
    <mergeCell ref="C24:F24"/>
    <mergeCell ref="G20:P20"/>
    <mergeCell ref="G21:P21"/>
    <mergeCell ref="G22:P22"/>
    <mergeCell ref="G23:P23"/>
    <mergeCell ref="B48:E48"/>
    <mergeCell ref="B49:E49"/>
    <mergeCell ref="B44:Z44"/>
    <mergeCell ref="B46:Z46"/>
    <mergeCell ref="G14:P14"/>
    <mergeCell ref="C14:F14"/>
    <mergeCell ref="S15:T15"/>
    <mergeCell ref="U15:W15"/>
    <mergeCell ref="Q17:R17"/>
    <mergeCell ref="C16:F16"/>
    <mergeCell ref="B47:Z47"/>
    <mergeCell ref="F48:Z48"/>
    <mergeCell ref="F49:Z49"/>
    <mergeCell ref="X27:Z27"/>
    <mergeCell ref="U31:W31"/>
    <mergeCell ref="Q16:R16"/>
    <mergeCell ref="S24:T24"/>
    <mergeCell ref="S21:T21"/>
    <mergeCell ref="S22:T22"/>
    <mergeCell ref="S23:T23"/>
    <mergeCell ref="X18:Z18"/>
    <mergeCell ref="X19:Z19"/>
    <mergeCell ref="X20:Z20"/>
    <mergeCell ref="S16:T16"/>
    <mergeCell ref="B1:Z1"/>
    <mergeCell ref="P7:Z7"/>
    <mergeCell ref="R8:Z8"/>
    <mergeCell ref="P8:Q8"/>
    <mergeCell ref="T3:U3"/>
    <mergeCell ref="R9:Z9"/>
    <mergeCell ref="R10:Z10"/>
    <mergeCell ref="P11:Q11"/>
    <mergeCell ref="Q15:R15"/>
    <mergeCell ref="S2:U2"/>
    <mergeCell ref="P9:Q9"/>
    <mergeCell ref="B8:N8"/>
    <mergeCell ref="P10:Q10"/>
    <mergeCell ref="P12:Q12"/>
    <mergeCell ref="C15:F15"/>
    <mergeCell ref="V2:Z2"/>
    <mergeCell ref="V3:Z3"/>
    <mergeCell ref="B4:L4"/>
    <mergeCell ref="X11:Z11"/>
    <mergeCell ref="R11:U11"/>
    <mergeCell ref="V11:W11"/>
    <mergeCell ref="I11:J11"/>
    <mergeCell ref="B9:E10"/>
    <mergeCell ref="F11:H11"/>
  </mergeCells>
  <phoneticPr fontId="1"/>
  <hyperlinks>
    <hyperlink ref="R12" r:id="rId1"/>
  </hyperlinks>
  <printOptions horizontalCentered="1"/>
  <pageMargins left="0.39370078740157483" right="0.39370078740157483" top="0.59055118110236227" bottom="0.59055118110236227" header="0.39370078740157483" footer="0.39370078740157483"/>
  <pageSetup paperSize="9" scale="93" orientation="portrait"/>
  <headerFooter alignWithMargins="0"/>
  <rowBreaks count="1" manualBreakCount="1">
    <brk id="49" max="16383" man="1"/>
  </rowBreaks>
  <colBreaks count="1" manualBreakCount="1">
    <brk id="26" max="1048575" man="1"/>
  </colBreaks>
  <legacyDrawing r:id="rId2"/>
  <extLst>
    <ext xmlns:mx="http://schemas.microsoft.com/office/mac/excel/2008/main" uri="{64002731-A6B0-56B0-2670-7721B7C09600}">
      <mx:PLV Mode="1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御見積書</vt:lpstr>
    </vt:vector>
  </TitlesOfParts>
  <Manager/>
  <Company>atrierawa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Cafe&amp;ガラス工房 海遊魚様 御見積書</dc:title>
  <dc:subject>ホームページ新規作成の件</dc:subject>
  <dc:creator>Creative Office OUR*IRO</dc:creator>
  <cp:keywords/>
  <dc:description/>
  <cp:lastModifiedBy>SUDO YUI</cp:lastModifiedBy>
  <cp:lastPrinted>2014-07-12T02:07:10Z</cp:lastPrinted>
  <dcterms:created xsi:type="dcterms:W3CDTF">2003-08-26T07:11:29Z</dcterms:created>
  <dcterms:modified xsi:type="dcterms:W3CDTF">2014-07-12T02:07:49Z</dcterms:modified>
  <cp:category/>
</cp:coreProperties>
</file>