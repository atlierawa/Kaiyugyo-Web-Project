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526"/>
  <workbookPr codeName="ThisWorkbook" autoCompressPictures="0"/>
  <bookViews>
    <workbookView xWindow="0" yWindow="0" windowWidth="27320" windowHeight="14840"/>
  </bookViews>
  <sheets>
    <sheet name="見積書" sheetId="2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8" i="2" l="1"/>
  <c r="X16" i="2"/>
  <c r="X17" i="2"/>
  <c r="X15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40" i="2"/>
  <c r="F9" i="2"/>
  <c r="X41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8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9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0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1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4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9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50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0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51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1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<sst xmlns="http://schemas.openxmlformats.org/spreadsheetml/2006/main" count="79" uniqueCount="69">
  <si>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</si>
  <si>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</si>
  <si>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</si>
  <si>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御　見　積　書</t>
    <rPh sb="0" eb="1">
      <t>オ</t>
    </rPh>
    <rPh sb="2" eb="3">
      <t>ケン</t>
    </rPh>
    <rPh sb="4" eb="5">
      <t>セキ</t>
    </rPh>
    <rPh sb="6" eb="7">
      <t>ショ</t>
    </rPh>
    <phoneticPr fontId="1"/>
  </si>
  <si>
    <t>件　　名</t>
    <rPh sb="0" eb="1">
      <t>ケン</t>
    </rPh>
    <rPh sb="3" eb="4">
      <t>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</si>
  <si>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</si>
  <si>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</si>
  <si>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</si>
  <si>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</si>
  <si>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</si>
  <si>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</si>
  <si>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</si>
  <si>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</si>
  <si>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</si>
  <si>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</si>
  <si>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</si>
  <si>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</si>
  <si>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</si>
  <si>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</si>
  <si>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</si>
  <si>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</si>
  <si>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</si>
  <si>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</si>
  <si>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Cafe＆ガラス工房　海遊魚</t>
    <phoneticPr fontId="1"/>
  </si>
  <si>
    <t>Creative office OURIRO</t>
    <phoneticPr fontId="1"/>
  </si>
  <si>
    <t>ouriro24@gmail.com</t>
    <phoneticPr fontId="1"/>
  </si>
  <si>
    <t>090-9348-4622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</si>
  <si>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</si>
  <si>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</si>
  <si>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</si>
  <si>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</si>
  <si>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</si>
  <si>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コーディング</t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</si>
  <si>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</si>
  <si>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</si>
  <si>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</si>
  <si>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更新ガイド（操作方法マニュアル作成）</t>
    <rPh sb="0" eb="2">
      <t>コウシン</t>
    </rPh>
    <rPh sb="6" eb="10">
      <t>ソウサホウホウ</t>
    </rPh>
    <rPh sb="15" eb="17">
      <t>サクセイ</t>
    </rPh>
    <phoneticPr fontId="1"/>
  </si>
  <si>
    <t>デザイン</t>
    <phoneticPr fontId="1"/>
  </si>
  <si>
    <t>システム</t>
    <phoneticPr fontId="1"/>
  </si>
  <si>
    <t>テンプレートデザイン</t>
    <phoneticPr fontId="1"/>
  </si>
  <si>
    <t>写真加工</t>
    <rPh sb="0" eb="2">
      <t>シャシン</t>
    </rPh>
    <rPh sb="2" eb="4">
      <t>カコウ</t>
    </rPh>
    <phoneticPr fontId="1"/>
  </si>
  <si>
    <t>ロゴデザイン</t>
    <phoneticPr fontId="1"/>
  </si>
  <si>
    <t>写真撮影</t>
    <rPh sb="0" eb="4">
      <t>シャシンサツエイ</t>
    </rPh>
    <phoneticPr fontId="1"/>
  </si>
  <si>
    <t>カメラマン交通費（都内―鴨川）</t>
    <rPh sb="5" eb="8">
      <t>コウツウヒ</t>
    </rPh>
    <rPh sb="9" eb="11">
      <t>トナイ</t>
    </rPh>
    <rPh sb="12" eb="14">
      <t>カモガワ</t>
    </rPh>
    <phoneticPr fontId="1"/>
  </si>
  <si>
    <t>工房ホームページの新規開設</t>
    <rPh sb="0" eb="2">
      <t>コウボウ</t>
    </rPh>
    <rPh sb="9" eb="11">
      <t>シンキ</t>
    </rPh>
    <rPh sb="11" eb="13">
      <t>カイセツ</t>
    </rPh>
    <phoneticPr fontId="1"/>
  </si>
  <si>
    <t>日</t>
    <rPh sb="0" eb="1">
      <t>ニチ</t>
    </rPh>
    <phoneticPr fontId="1"/>
  </si>
  <si>
    <t>交通費</t>
    <rPh sb="0" eb="3">
      <t>コウツウヒ</t>
    </rPh>
    <phoneticPr fontId="1"/>
  </si>
  <si>
    <t>実際の経費合計</t>
    <rPh sb="0" eb="2">
      <t>ジッサイ</t>
    </rPh>
    <rPh sb="3" eb="5">
      <t>ケイヒ</t>
    </rPh>
    <rPh sb="5" eb="7">
      <t>ゴウケイ</t>
    </rPh>
    <phoneticPr fontId="1"/>
  </si>
  <si>
    <t>直紀ギャラ</t>
    <rPh sb="0" eb="2">
      <t>ナオキ</t>
    </rPh>
    <phoneticPr fontId="1"/>
  </si>
  <si>
    <t>ゆいギャラ</t>
    <phoneticPr fontId="1"/>
  </si>
  <si>
    <t>たまりギャラ</t>
    <phoneticPr fontId="1"/>
  </si>
  <si>
    <t>あっくんギャラ</t>
    <phoneticPr fontId="1"/>
  </si>
  <si>
    <t>ドメイン取得および管理</t>
    <rPh sb="4" eb="6">
      <t>シュトク</t>
    </rPh>
    <rPh sb="9" eb="11">
      <t>カンリ</t>
    </rPh>
    <phoneticPr fontId="1"/>
  </si>
  <si>
    <t>ドメイン取得＆管理</t>
    <rPh sb="4" eb="6">
      <t>シュトク</t>
    </rPh>
    <rPh sb="7" eb="9">
      <t>カンリ</t>
    </rPh>
    <phoneticPr fontId="1"/>
  </si>
  <si>
    <t>たまりんに全額</t>
    <rPh sb="5" eb="7">
      <t>ゼンガク</t>
    </rPh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</si>
  <si>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</si>
  <si>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・1ページのボリュームはA4の原稿1枚/もしくは一般的なモニタサイズにスクロールなしで収まる程度のボリュームとなり</t>
    <phoneticPr fontId="1"/>
  </si>
  <si>
    <t>ます。</t>
    <phoneticPr fontId="1"/>
  </si>
  <si>
    <t>・サイトはtumblrのサーバー内に設置し、更新、記事追加などはすべてtumblrのアカウントから管理できる形で作成いた</t>
    <rPh sb="16" eb="17">
      <t>ウチ</t>
    </rPh>
    <rPh sb="18" eb="20">
      <t>セッチ</t>
    </rPh>
    <rPh sb="22" eb="24">
      <t>コウシン</t>
    </rPh>
    <rPh sb="25" eb="27">
      <t>キジ</t>
    </rPh>
    <rPh sb="27" eb="29">
      <t>ツイカ</t>
    </rPh>
    <rPh sb="49" eb="51">
      <t>カンリ</t>
    </rPh>
    <rPh sb="54" eb="55">
      <t>カタチ</t>
    </rPh>
    <rPh sb="56" eb="58">
      <t>サクセイ</t>
    </rPh>
    <phoneticPr fontId="1"/>
  </si>
  <si>
    <t>します。</t>
    <phoneticPr fontId="1"/>
  </si>
  <si>
    <t>・アクセス解析は無料で設置いたします。</t>
    <phoneticPr fontId="1"/>
  </si>
  <si>
    <t>見積書有効期限：</t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</si>
  <si>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</si>
  <si>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作業期間：</t>
    <rPh sb="0" eb="4">
      <t>サギョウキカン</t>
    </rPh>
    <phoneticPr fontId="1"/>
  </si>
  <si>
    <t>2014年9月1日までに問題なく運用できる状態で制作いたします。</t>
    <rPh sb="4" eb="5">
      <t>ネン</t>
    </rPh>
    <rPh sb="6" eb="7">
      <t>ガツ</t>
    </rPh>
    <rPh sb="8" eb="9">
      <t>ニチ</t>
    </rPh>
    <rPh sb="12" eb="14">
      <t>モンダイ</t>
    </rPh>
    <rPh sb="16" eb="18">
      <t>ウンヨウ</t>
    </rPh>
    <rPh sb="21" eb="23">
      <t>ジョウタイ</t>
    </rPh>
    <rPh sb="24" eb="26">
      <t>セイサク</t>
    </rPh>
    <phoneticPr fontId="1"/>
  </si>
  <si>
    <t>60000円分まで安房マネー支払いOK</t>
    <rPh sb="5" eb="6">
      <t>エン</t>
    </rPh>
    <rPh sb="6" eb="7">
      <t>ブン</t>
    </rPh>
    <rPh sb="9" eb="14">
      <t>アワ</t>
    </rPh>
    <rPh sb="14" eb="16">
      <t>シハラ</t>
    </rPh>
    <phoneticPr fontId="1"/>
  </si>
  <si>
    <t>須藤　悠惟</t>
    <rPh sb="0" eb="2">
      <t>スドウ</t>
    </rPh>
    <rPh sb="3" eb="4">
      <t>ユウ</t>
    </rPh>
    <rPh sb="4" eb="5">
      <t>ユイ</t>
    </rPh>
    <phoneticPr fontId="1"/>
  </si>
  <si>
    <t>たまりんに15,000円</t>
    <rPh sb="11" eb="12">
      <t>エン</t>
    </rPh>
    <phoneticPr fontId="1"/>
  </si>
  <si>
    <t>東京都国分寺市東恋ケ窪４−１−２１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</si>
</sst>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¥&quot;#,##0;&quot;¥&quot;\-#,##0"/>
    <numFmt numFmtId="176" formatCode="[$-411]ggge&quot;年&quot;m&quot;月&quot;d&quot;日&quot;;@"/>
    <numFmt numFmtId="177" formatCode="0_ "/>
  </numFmts>
  <fonts count="1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sz val="10"/>
      <name val="ＭＳ Ｐ明朝"/>
      <family val="1"/>
      <charset val="128"/>
    </font>
    <font>
      <b/>
      <sz val="16"/>
      <name val="ＭＳ Ｐ明朝"/>
      <family val="1"/>
      <charset val="128"/>
    </font>
    <font>
      <sz val="18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2"/>
      <color indexed="10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8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155">
    <xf numFmtId="0" fontId="0" fillId="0" borderId="0" xfId="0"/>
    <xf numFmtId="0" fontId="3" fillId="0" borderId="0" xfId="0" applyFont="1"/>
    <xf numFmtId="0" fontId="3" fillId="0" borderId="0" xfId="0" applyFont="1" applyProtection="1"/>
    <xf numFmtId="0" fontId="4" fillId="0" borderId="0" xfId="0" applyFont="1" applyAlignment="1" applyProtection="1"/>
    <xf numFmtId="176" fontId="4" fillId="0" borderId="0" xfId="0" applyNumberFormat="1" applyFont="1" applyAlignment="1" applyProtection="1"/>
    <xf numFmtId="0" fontId="4" fillId="0" borderId="0" xfId="0" applyFont="1" applyAlignment="1"/>
    <xf numFmtId="3" fontId="8" fillId="0" borderId="0" xfId="0" applyNumberFormat="1" applyFont="1" applyAlignment="1"/>
    <xf numFmtId="0" fontId="4" fillId="0" borderId="1" xfId="0" applyFont="1" applyBorder="1" applyAlignment="1"/>
    <xf numFmtId="0" fontId="3" fillId="0" borderId="3" xfId="0" applyFont="1" applyBorder="1"/>
    <xf numFmtId="0" fontId="3" fillId="0" borderId="0" xfId="0" applyFont="1" applyBorder="1"/>
    <xf numFmtId="0" fontId="3" fillId="0" borderId="4" xfId="0" applyFont="1" applyBorder="1"/>
    <xf numFmtId="0" fontId="3" fillId="0" borderId="5" xfId="0" applyFont="1" applyBorder="1"/>
    <xf numFmtId="0" fontId="6" fillId="0" borderId="6" xfId="0" applyFont="1" applyBorder="1"/>
    <xf numFmtId="0" fontId="3" fillId="0" borderId="1" xfId="0" applyFont="1" applyBorder="1"/>
    <xf numFmtId="177" fontId="6" fillId="0" borderId="7" xfId="0" applyNumberFormat="1" applyFont="1" applyBorder="1" applyProtection="1">
      <protection locked="0"/>
    </xf>
    <xf numFmtId="177" fontId="6" fillId="0" borderId="8" xfId="0" applyNumberFormat="1" applyFont="1" applyBorder="1" applyProtection="1">
      <protection locked="0"/>
    </xf>
    <xf numFmtId="177" fontId="6" fillId="0" borderId="8" xfId="0" applyNumberFormat="1" applyFont="1" applyFill="1" applyBorder="1" applyProtection="1">
      <protection locked="0"/>
    </xf>
    <xf numFmtId="177" fontId="9" fillId="0" borderId="8" xfId="0" applyNumberFormat="1" applyFont="1" applyFill="1" applyBorder="1" applyProtection="1">
      <protection locked="0"/>
    </xf>
    <xf numFmtId="49" fontId="6" fillId="0" borderId="2" xfId="0" applyNumberFormat="1" applyFont="1" applyBorder="1" applyAlignment="1">
      <alignment horizontal="center"/>
    </xf>
    <xf numFmtId="177" fontId="6" fillId="0" borderId="9" xfId="0" applyNumberFormat="1" applyFont="1" applyFill="1" applyBorder="1" applyProtection="1">
      <protection locked="0"/>
    </xf>
    <xf numFmtId="3" fontId="14" fillId="0" borderId="0" xfId="0" applyNumberFormat="1" applyFont="1" applyAlignment="1"/>
    <xf numFmtId="0" fontId="3" fillId="0" borderId="0" xfId="0" applyFont="1" applyAlignment="1">
      <alignment horizontal="right"/>
    </xf>
    <xf numFmtId="49" fontId="6" fillId="0" borderId="13" xfId="0" applyNumberFormat="1" applyFont="1" applyBorder="1" applyAlignment="1" applyProtection="1">
      <alignment horizontal="center"/>
      <protection locked="0"/>
    </xf>
    <xf numFmtId="49" fontId="6" fillId="0" borderId="14" xfId="0" applyNumberFormat="1" applyFont="1" applyBorder="1" applyAlignment="1" applyProtection="1">
      <alignment horizontal="center"/>
      <protection locked="0"/>
    </xf>
    <xf numFmtId="49" fontId="6" fillId="0" borderId="17" xfId="0" applyNumberFormat="1" applyFont="1" applyBorder="1" applyAlignment="1" applyProtection="1">
      <alignment horizontal="center"/>
      <protection locked="0"/>
    </xf>
    <xf numFmtId="49" fontId="6" fillId="0" borderId="0" xfId="0" applyNumberFormat="1" applyFont="1" applyBorder="1" applyAlignment="1" applyProtection="1">
      <alignment horizontal="center"/>
      <protection locked="0"/>
    </xf>
    <xf numFmtId="3" fontId="5" fillId="0" borderId="20" xfId="0" applyNumberFormat="1" applyFont="1" applyBorder="1" applyAlignment="1" applyProtection="1">
      <alignment horizontal="right"/>
      <protection locked="0"/>
    </xf>
    <xf numFmtId="3" fontId="5" fillId="0" borderId="1" xfId="0" applyNumberFormat="1" applyFont="1" applyBorder="1" applyAlignment="1" applyProtection="1">
      <alignment horizontal="right"/>
      <protection locked="0"/>
    </xf>
    <xf numFmtId="3" fontId="5" fillId="0" borderId="21" xfId="0" applyNumberFormat="1" applyFont="1" applyBorder="1" applyAlignment="1" applyProtection="1">
      <alignment horizontal="right"/>
      <protection locked="0"/>
    </xf>
    <xf numFmtId="0" fontId="5" fillId="0" borderId="10" xfId="0" applyNumberFormat="1" applyFont="1" applyBorder="1" applyAlignment="1" applyProtection="1">
      <alignment horizontal="right"/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Alignment="1">
      <alignment horizontal="right"/>
    </xf>
    <xf numFmtId="49" fontId="4" fillId="0" borderId="0" xfId="0" applyNumberFormat="1" applyFont="1" applyAlignment="1">
      <alignment horizontal="right"/>
    </xf>
    <xf numFmtId="0" fontId="5" fillId="0" borderId="20" xfId="0" applyNumberFormat="1" applyFont="1" applyBorder="1" applyAlignment="1" applyProtection="1">
      <alignment horizontal="right"/>
      <protection locked="0"/>
    </xf>
    <xf numFmtId="0" fontId="5" fillId="0" borderId="21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Alignment="1">
      <alignment horizontal="right"/>
    </xf>
    <xf numFmtId="49" fontId="6" fillId="0" borderId="20" xfId="0" applyNumberFormat="1" applyFont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alignment horizontal="right"/>
      <protection locked="0"/>
    </xf>
    <xf numFmtId="49" fontId="6" fillId="0" borderId="1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0" fontId="6" fillId="0" borderId="3" xfId="0" applyFont="1" applyBorder="1" applyAlignment="1"/>
    <xf numFmtId="0" fontId="6" fillId="0" borderId="0" xfId="0" applyFont="1" applyBorder="1" applyAlignment="1"/>
    <xf numFmtId="0" fontId="6" fillId="0" borderId="12" xfId="0" applyFont="1" applyBorder="1" applyAlignment="1"/>
    <xf numFmtId="0" fontId="6" fillId="0" borderId="4" xfId="0" applyFont="1" applyBorder="1" applyAlignment="1"/>
    <xf numFmtId="0" fontId="6" fillId="0" borderId="5" xfId="0" applyFont="1" applyBorder="1" applyAlignment="1"/>
    <xf numFmtId="0" fontId="6" fillId="0" borderId="18" xfId="0" applyFont="1" applyBorder="1" applyAlignment="1"/>
    <xf numFmtId="0" fontId="3" fillId="0" borderId="6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5" xfId="0" applyFont="1" applyBorder="1" applyAlignment="1" applyProtection="1">
      <alignment horizontal="left"/>
      <protection locked="0"/>
    </xf>
    <xf numFmtId="0" fontId="3" fillId="0" borderId="18" xfId="0" applyFont="1" applyBorder="1" applyAlignment="1" applyProtection="1">
      <alignment horizontal="left"/>
      <protection locked="0"/>
    </xf>
    <xf numFmtId="3" fontId="5" fillId="0" borderId="0" xfId="0" applyNumberFormat="1" applyFont="1" applyFill="1" applyBorder="1" applyAlignment="1" applyProtection="1">
      <alignment horizontal="right"/>
      <protection hidden="1"/>
    </xf>
    <xf numFmtId="3" fontId="5" fillId="0" borderId="12" xfId="0" applyNumberFormat="1" applyFont="1" applyFill="1" applyBorder="1" applyAlignment="1" applyProtection="1">
      <alignment horizontal="right"/>
      <protection hidden="1"/>
    </xf>
    <xf numFmtId="3" fontId="5" fillId="0" borderId="10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Alignment="1" applyProtection="1">
      <alignment horizontal="right"/>
      <protection locked="0"/>
    </xf>
    <xf numFmtId="3" fontId="0" fillId="0" borderId="11" xfId="0" applyNumberFormat="1" applyBorder="1" applyAlignment="1" applyProtection="1">
      <alignment horizontal="right"/>
      <protection locked="0"/>
    </xf>
    <xf numFmtId="0" fontId="5" fillId="0" borderId="10" xfId="0" applyNumberFormat="1" applyFont="1" applyFill="1" applyBorder="1" applyAlignment="1" applyProtection="1">
      <alignment horizontal="right"/>
      <protection locked="0"/>
    </xf>
    <xf numFmtId="0" fontId="5" fillId="0" borderId="11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3" fontId="5" fillId="0" borderId="10" xfId="0" applyNumberFormat="1" applyFont="1" applyFill="1" applyBorder="1" applyAlignment="1" applyProtection="1">
      <alignment horizontal="right"/>
      <protection hidden="1"/>
    </xf>
    <xf numFmtId="3" fontId="5" fillId="0" borderId="0" xfId="0" applyNumberFormat="1" applyFont="1" applyBorder="1" applyAlignment="1" applyProtection="1">
      <alignment horizontal="right"/>
      <protection hidden="1"/>
    </xf>
    <xf numFmtId="3" fontId="5" fillId="0" borderId="12" xfId="0" applyNumberFormat="1" applyFont="1" applyBorder="1" applyAlignment="1" applyProtection="1">
      <alignment horizontal="right"/>
      <protection hidden="1"/>
    </xf>
    <xf numFmtId="3" fontId="5" fillId="0" borderId="0" xfId="0" applyNumberFormat="1" applyFont="1" applyFill="1" applyBorder="1" applyAlignment="1" applyProtection="1">
      <alignment horizontal="right"/>
      <protection locked="0"/>
    </xf>
    <xf numFmtId="3" fontId="5" fillId="0" borderId="11" xfId="0" applyNumberFormat="1" applyFont="1" applyFill="1" applyBorder="1" applyAlignment="1" applyProtection="1">
      <alignment horizontal="right"/>
      <protection locked="0"/>
    </xf>
    <xf numFmtId="3" fontId="5" fillId="0" borderId="10" xfId="0" applyNumberFormat="1" applyFont="1" applyBorder="1" applyAlignment="1" applyProtection="1">
      <alignment horizontal="right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3" fontId="5" fillId="0" borderId="11" xfId="0" applyNumberFormat="1" applyFont="1" applyBorder="1" applyAlignment="1" applyProtection="1">
      <alignment horizontal="right"/>
      <protection locked="0"/>
    </xf>
    <xf numFmtId="49" fontId="6" fillId="0" borderId="10" xfId="0" applyNumberFormat="1" applyFont="1" applyBorder="1" applyAlignment="1" applyProtection="1">
      <alignment horizontal="center"/>
      <protection locked="0"/>
    </xf>
    <xf numFmtId="49" fontId="6" fillId="0" borderId="11" xfId="0" applyNumberFormat="1" applyFont="1" applyBorder="1" applyAlignment="1" applyProtection="1">
      <alignment horizontal="center"/>
      <protection locked="0"/>
    </xf>
    <xf numFmtId="49" fontId="6" fillId="0" borderId="10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Border="1" applyAlignment="1" applyProtection="1">
      <alignment horizontal="right"/>
      <protection locked="0"/>
    </xf>
    <xf numFmtId="176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5" xfId="0" applyFont="1" applyBorder="1" applyAlignment="1" applyProtection="1">
      <alignment horizontal="left"/>
      <protection locked="0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3" fillId="0" borderId="5" xfId="0" applyFont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/>
    </xf>
    <xf numFmtId="5" fontId="7" fillId="0" borderId="0" xfId="0" applyNumberFormat="1" applyFont="1" applyAlignment="1" applyProtection="1">
      <alignment horizontal="center"/>
      <protection hidden="1"/>
    </xf>
    <xf numFmtId="5" fontId="7" fillId="0" borderId="5" xfId="0" applyNumberFormat="1" applyFont="1" applyBorder="1" applyAlignment="1" applyProtection="1">
      <alignment horizontal="center"/>
      <protection hidden="1"/>
    </xf>
    <xf numFmtId="49" fontId="4" fillId="0" borderId="0" xfId="0" applyNumberFormat="1" applyFont="1" applyAlignment="1" applyProtection="1">
      <alignment horizontal="right"/>
    </xf>
    <xf numFmtId="5" fontId="15" fillId="0" borderId="13" xfId="0" applyNumberFormat="1" applyFont="1" applyBorder="1" applyAlignment="1" applyProtection="1">
      <alignment horizontal="left"/>
      <protection hidden="1"/>
    </xf>
    <xf numFmtId="49" fontId="16" fillId="0" borderId="0" xfId="1" applyNumberFormat="1" applyAlignment="1" applyProtection="1">
      <alignment horizontal="left"/>
      <protection locked="0"/>
    </xf>
    <xf numFmtId="3" fontId="5" fillId="0" borderId="1" xfId="0" applyNumberFormat="1" applyFont="1" applyBorder="1" applyAlignment="1" applyProtection="1">
      <alignment horizontal="right"/>
      <protection hidden="1"/>
    </xf>
    <xf numFmtId="3" fontId="5" fillId="0" borderId="19" xfId="0" applyNumberFormat="1" applyFont="1" applyBorder="1" applyAlignment="1" applyProtection="1">
      <alignment horizontal="right"/>
      <protection hidden="1"/>
    </xf>
    <xf numFmtId="49" fontId="6" fillId="0" borderId="17" xfId="0" applyNumberFormat="1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3" fillId="0" borderId="3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12" xfId="0" applyFont="1" applyBorder="1" applyAlignment="1" applyProtection="1">
      <alignment horizontal="left"/>
      <protection locked="0"/>
    </xf>
    <xf numFmtId="3" fontId="0" fillId="0" borderId="0" xfId="0" applyNumberFormat="1" applyFill="1" applyAlignment="1" applyProtection="1">
      <alignment horizontal="right"/>
      <protection locked="0"/>
    </xf>
    <xf numFmtId="3" fontId="0" fillId="0" borderId="11" xfId="0" applyNumberFormat="1" applyFill="1" applyBorder="1" applyAlignment="1" applyProtection="1">
      <alignment horizontal="right"/>
      <protection locked="0"/>
    </xf>
    <xf numFmtId="9" fontId="5" fillId="0" borderId="10" xfId="0" applyNumberFormat="1" applyFont="1" applyBorder="1" applyAlignment="1" applyProtection="1">
      <alignment horizontal="right"/>
      <protection hidden="1"/>
    </xf>
    <xf numFmtId="9" fontId="5" fillId="0" borderId="0" xfId="0" applyNumberFormat="1" applyFont="1" applyBorder="1" applyAlignment="1" applyProtection="1">
      <alignment horizontal="right"/>
      <protection hidden="1"/>
    </xf>
    <xf numFmtId="9" fontId="5" fillId="0" borderId="12" xfId="0" applyNumberFormat="1" applyFont="1" applyBorder="1" applyAlignment="1" applyProtection="1">
      <alignment horizontal="right"/>
      <protection hidden="1"/>
    </xf>
    <xf numFmtId="5" fontId="5" fillId="0" borderId="20" xfId="0" applyNumberFormat="1" applyFont="1" applyBorder="1" applyAlignment="1" applyProtection="1">
      <alignment horizontal="right"/>
      <protection hidden="1"/>
    </xf>
    <xf numFmtId="5" fontId="5" fillId="0" borderId="1" xfId="0" applyNumberFormat="1" applyFont="1" applyBorder="1" applyAlignment="1" applyProtection="1">
      <alignment horizontal="right"/>
      <protection hidden="1"/>
    </xf>
    <xf numFmtId="5" fontId="5" fillId="0" borderId="19" xfId="0" applyNumberFormat="1" applyFont="1" applyBorder="1" applyAlignment="1" applyProtection="1">
      <alignment horizontal="right"/>
      <protection hidden="1"/>
    </xf>
    <xf numFmtId="5" fontId="5" fillId="0" borderId="10" xfId="0" applyNumberFormat="1" applyFont="1" applyBorder="1" applyAlignment="1" applyProtection="1">
      <alignment horizontal="right"/>
      <protection hidden="1"/>
    </xf>
    <xf numFmtId="5" fontId="5" fillId="0" borderId="0" xfId="0" applyNumberFormat="1" applyFont="1" applyBorder="1" applyAlignment="1" applyProtection="1">
      <alignment horizontal="right"/>
      <protection hidden="1"/>
    </xf>
    <xf numFmtId="5" fontId="5" fillId="0" borderId="12" xfId="0" applyNumberFormat="1" applyFont="1" applyBorder="1" applyAlignment="1" applyProtection="1">
      <alignment horizontal="right"/>
      <protection hidden="1"/>
    </xf>
    <xf numFmtId="5" fontId="11" fillId="0" borderId="15" xfId="0" applyNumberFormat="1" applyFont="1" applyBorder="1" applyAlignment="1" applyProtection="1">
      <alignment horizontal="right"/>
      <protection hidden="1"/>
    </xf>
    <xf numFmtId="5" fontId="11" fillId="0" borderId="5" xfId="0" applyNumberFormat="1" applyFont="1" applyBorder="1" applyAlignment="1" applyProtection="1">
      <alignment horizontal="right"/>
      <protection hidden="1"/>
    </xf>
    <xf numFmtId="5" fontId="11" fillId="0" borderId="18" xfId="0" applyNumberFormat="1" applyFont="1" applyBorder="1" applyAlignment="1" applyProtection="1">
      <alignment horizontal="right"/>
      <protection hidden="1"/>
    </xf>
    <xf numFmtId="0" fontId="3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49" fontId="9" fillId="0" borderId="0" xfId="0" applyNumberFormat="1" applyFont="1" applyFill="1" applyBorder="1" applyAlignment="1" applyProtection="1">
      <alignment horizontal="center"/>
      <protection locked="0"/>
    </xf>
    <xf numFmtId="0" fontId="10" fillId="0" borderId="10" xfId="0" applyNumberFormat="1" applyFont="1" applyFill="1" applyBorder="1" applyAlignment="1" applyProtection="1">
      <alignment horizontal="right"/>
      <protection locked="0"/>
    </xf>
    <xf numFmtId="0" fontId="10" fillId="0" borderId="11" xfId="0" applyNumberFormat="1" applyFont="1" applyFill="1" applyBorder="1" applyAlignment="1" applyProtection="1">
      <alignment horizontal="right"/>
      <protection locked="0"/>
    </xf>
    <xf numFmtId="0" fontId="5" fillId="0" borderId="15" xfId="0" applyNumberFormat="1" applyFont="1" applyFill="1" applyBorder="1" applyAlignment="1" applyProtection="1">
      <alignment horizontal="right"/>
      <protection locked="0"/>
    </xf>
    <xf numFmtId="0" fontId="5" fillId="0" borderId="16" xfId="0" applyNumberFormat="1" applyFont="1" applyFill="1" applyBorder="1" applyAlignment="1" applyProtection="1">
      <alignment horizontal="right"/>
      <protection locked="0"/>
    </xf>
    <xf numFmtId="49" fontId="6" fillId="0" borderId="10" xfId="0" applyNumberFormat="1" applyFont="1" applyFill="1" applyBorder="1" applyAlignment="1" applyProtection="1">
      <alignment horizontal="center"/>
      <protection locked="0"/>
    </xf>
    <xf numFmtId="49" fontId="6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Border="1" applyAlignment="1">
      <alignment horizontal="right"/>
    </xf>
    <xf numFmtId="0" fontId="0" fillId="0" borderId="11" xfId="0" applyNumberFormat="1" applyFill="1" applyBorder="1" applyAlignment="1">
      <alignment horizontal="right"/>
    </xf>
    <xf numFmtId="49" fontId="3" fillId="0" borderId="0" xfId="0" applyNumberFormat="1" applyFont="1" applyBorder="1" applyAlignment="1">
      <alignment horizontal="right"/>
    </xf>
    <xf numFmtId="49" fontId="3" fillId="0" borderId="11" xfId="0" applyNumberFormat="1" applyFont="1" applyBorder="1" applyAlignment="1">
      <alignment horizontal="right"/>
    </xf>
    <xf numFmtId="49" fontId="6" fillId="0" borderId="5" xfId="0" applyNumberFormat="1" applyFont="1" applyFill="1" applyBorder="1" applyAlignment="1" applyProtection="1">
      <alignment horizontal="right"/>
      <protection locked="0"/>
    </xf>
    <xf numFmtId="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49" fontId="9" fillId="0" borderId="10" xfId="0" applyNumberFormat="1" applyFont="1" applyFill="1" applyBorder="1" applyAlignment="1" applyProtection="1">
      <alignment horizontal="right"/>
      <protection locked="0"/>
    </xf>
    <xf numFmtId="49" fontId="9" fillId="0" borderId="0" xfId="0" applyNumberFormat="1" applyFont="1" applyFill="1" applyBorder="1" applyAlignment="1" applyProtection="1">
      <alignment horizontal="right"/>
      <protection locked="0"/>
    </xf>
    <xf numFmtId="49" fontId="6" fillId="0" borderId="15" xfId="0" applyNumberFormat="1" applyFont="1" applyFill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protection locked="0"/>
    </xf>
    <xf numFmtId="49" fontId="6" fillId="0" borderId="21" xfId="0" applyNumberFormat="1" applyFont="1" applyBorder="1" applyAlignment="1" applyProtection="1">
      <protection locked="0"/>
    </xf>
    <xf numFmtId="49" fontId="6" fillId="0" borderId="0" xfId="0" applyNumberFormat="1" applyFont="1" applyFill="1" applyBorder="1" applyAlignment="1" applyProtection="1">
      <protection locked="0"/>
    </xf>
    <xf numFmtId="49" fontId="6" fillId="0" borderId="11" xfId="0" applyNumberFormat="1" applyFont="1" applyFill="1" applyBorder="1" applyAlignment="1" applyProtection="1">
      <protection locked="0"/>
    </xf>
    <xf numFmtId="49" fontId="6" fillId="0" borderId="0" xfId="0" applyNumberFormat="1" applyFont="1" applyBorder="1" applyAlignment="1" applyProtection="1">
      <protection locked="0"/>
    </xf>
    <xf numFmtId="49" fontId="6" fillId="0" borderId="11" xfId="0" applyNumberFormat="1" applyFont="1" applyBorder="1" applyAlignment="1" applyProtection="1">
      <protection locked="0"/>
    </xf>
    <xf numFmtId="5" fontId="3" fillId="0" borderId="0" xfId="0" applyNumberFormat="1" applyFont="1"/>
    <xf numFmtId="49" fontId="9" fillId="0" borderId="0" xfId="0" applyNumberFormat="1" applyFont="1" applyFill="1" applyBorder="1" applyAlignment="1" applyProtection="1">
      <protection locked="0"/>
    </xf>
    <xf numFmtId="49" fontId="9" fillId="0" borderId="11" xfId="0" applyNumberFormat="1" applyFont="1" applyFill="1" applyBorder="1" applyAlignment="1" applyProtection="1">
      <protection locked="0"/>
    </xf>
    <xf numFmtId="49" fontId="6" fillId="0" borderId="5" xfId="0" applyNumberFormat="1" applyFont="1" applyFill="1" applyBorder="1" applyAlignment="1" applyProtection="1">
      <protection locked="0"/>
    </xf>
    <xf numFmtId="49" fontId="6" fillId="0" borderId="16" xfId="0" applyNumberFormat="1" applyFont="1" applyFill="1" applyBorder="1" applyAlignment="1" applyProtection="1">
      <protection locked="0"/>
    </xf>
    <xf numFmtId="3" fontId="5" fillId="0" borderId="15" xfId="0" applyNumberFormat="1" applyFont="1" applyFill="1" applyBorder="1" applyAlignment="1" applyProtection="1">
      <alignment horizontal="right"/>
      <protection locked="0"/>
    </xf>
    <xf numFmtId="3" fontId="5" fillId="0" borderId="5" xfId="0" applyNumberFormat="1" applyFont="1" applyFill="1" applyBorder="1" applyAlignment="1" applyProtection="1">
      <alignment horizontal="right"/>
      <protection locked="0"/>
    </xf>
    <xf numFmtId="3" fontId="5" fillId="0" borderId="16" xfId="0" applyNumberFormat="1" applyFont="1" applyFill="1" applyBorder="1" applyAlignment="1" applyProtection="1">
      <alignment horizontal="right"/>
      <protection locked="0"/>
    </xf>
    <xf numFmtId="3" fontId="10" fillId="0" borderId="10" xfId="0" applyNumberFormat="1" applyFont="1" applyFill="1" applyBorder="1" applyAlignment="1" applyProtection="1">
      <alignment horizontal="right"/>
      <protection locked="0"/>
    </xf>
    <xf numFmtId="3" fontId="10" fillId="0" borderId="0" xfId="0" applyNumberFormat="1" applyFont="1" applyFill="1" applyBorder="1" applyAlignment="1" applyProtection="1">
      <alignment horizontal="right"/>
      <protection locked="0"/>
    </xf>
    <xf numFmtId="3" fontId="10" fillId="0" borderId="11" xfId="0" applyNumberFormat="1" applyFont="1" applyFill="1" applyBorder="1" applyAlignment="1" applyProtection="1">
      <alignment horizontal="right"/>
      <protection locked="0"/>
    </xf>
    <xf numFmtId="49" fontId="6" fillId="0" borderId="13" xfId="0" applyNumberFormat="1" applyFont="1" applyBorder="1" applyAlignment="1">
      <alignment horizontal="center"/>
    </xf>
    <xf numFmtId="3" fontId="5" fillId="0" borderId="10" xfId="0" applyNumberFormat="1" applyFont="1" applyBorder="1" applyAlignment="1" applyProtection="1">
      <alignment horizontal="right"/>
      <protection hidden="1"/>
    </xf>
  </cellXfs>
  <cellStyles count="8">
    <cellStyle name="ハイパーリンク" xfId="1" builtinId="8"/>
    <cellStyle name="標準" xfId="0" builtinId="0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AL51"/>
  <sheetViews>
    <sheetView showZeros="0" tabSelected="1" zoomScale="150" zoomScaleNormal="150" zoomScalePageLayoutView="150" workbookViewId="0">
      <selection activeCell="X5" sqref="X5"/>
    </sheetView>
  </sheetViews>
  <sheetFormatPr baseColWidth="12" defaultColWidth="3.6640625" defaultRowHeight="22.5" customHeight="1" x14ac:dyDescent="0"/>
  <cols>
    <col min="1" max="1" width="1.83203125" style="1" customWidth="1"/>
    <col min="2" max="16384" width="3.6640625" style="1"/>
  </cols>
  <sheetData>
    <row r="1" spans="1:26" ht="22.5" customHeight="1">
      <c r="B1" s="31" t="s">
        <v>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15" customHeight="1">
      <c r="A2" s="1">
        <v>0</v>
      </c>
      <c r="S2" s="35" t="s">
        <v>18</v>
      </c>
      <c r="T2" s="35"/>
      <c r="U2" s="35"/>
      <c r="V2" s="76">
        <v>41783</v>
      </c>
      <c r="W2" s="76"/>
      <c r="X2" s="76"/>
      <c r="Y2" s="76"/>
      <c r="Z2" s="76"/>
    </row>
    <row r="3" spans="1:26" ht="15" customHeight="1">
      <c r="T3" s="35" t="s">
        <v>14</v>
      </c>
      <c r="U3" s="35"/>
      <c r="V3" s="77">
        <v>26052401</v>
      </c>
      <c r="W3" s="77"/>
      <c r="X3" s="77"/>
      <c r="Y3" s="77"/>
      <c r="Z3" s="77"/>
    </row>
    <row r="4" spans="1:26" ht="22.5" customHeight="1">
      <c r="B4" s="78" t="s">
        <v>23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82" t="s">
        <v>2</v>
      </c>
      <c r="N4" s="82"/>
      <c r="O4" s="2"/>
      <c r="P4" s="2"/>
      <c r="Q4" s="3"/>
      <c r="R4" s="3"/>
      <c r="S4" s="3"/>
      <c r="T4" s="4"/>
      <c r="U4" s="4"/>
      <c r="V4" s="4"/>
      <c r="W4" s="4"/>
      <c r="X4" s="4"/>
      <c r="Y4" s="4"/>
      <c r="Z4" s="4"/>
    </row>
    <row r="5" spans="1:26" ht="15" customHeight="1">
      <c r="Q5" s="5"/>
      <c r="R5" s="5"/>
      <c r="S5" s="5"/>
      <c r="T5" s="3"/>
      <c r="U5" s="3"/>
      <c r="V5" s="3"/>
      <c r="W5" s="3"/>
      <c r="X5" s="3"/>
      <c r="Y5" s="3"/>
      <c r="Z5" s="3"/>
    </row>
    <row r="6" spans="1:26" ht="22.5" customHeight="1">
      <c r="B6" s="83" t="s">
        <v>4</v>
      </c>
      <c r="C6" s="83"/>
      <c r="D6" s="78" t="s">
        <v>44</v>
      </c>
      <c r="E6" s="78"/>
      <c r="F6" s="78"/>
      <c r="G6" s="78"/>
      <c r="H6" s="78"/>
      <c r="I6" s="78"/>
      <c r="J6" s="78"/>
      <c r="K6" s="78"/>
      <c r="L6" s="78"/>
      <c r="M6" s="78"/>
      <c r="N6" s="78"/>
    </row>
    <row r="7" spans="1:26" ht="22.5" customHeight="1">
      <c r="P7" s="32" t="s">
        <v>24</v>
      </c>
      <c r="Q7" s="32"/>
      <c r="R7" s="32"/>
      <c r="S7" s="32"/>
      <c r="T7" s="32"/>
      <c r="U7" s="32"/>
      <c r="V7" s="32"/>
      <c r="W7" s="32"/>
      <c r="X7" s="32"/>
      <c r="Y7" s="32"/>
      <c r="Z7" s="32"/>
    </row>
    <row r="8" spans="1:26" ht="15" customHeight="1">
      <c r="B8" s="32" t="s">
        <v>7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P8" s="34" t="s">
        <v>17</v>
      </c>
      <c r="Q8" s="34"/>
      <c r="R8" s="33" t="s">
        <v>66</v>
      </c>
      <c r="S8" s="33"/>
      <c r="T8" s="33"/>
      <c r="U8" s="33"/>
      <c r="V8" s="33"/>
      <c r="W8" s="33"/>
      <c r="X8" s="33"/>
      <c r="Y8" s="33"/>
      <c r="Z8" s="33"/>
    </row>
    <row r="9" spans="1:26" ht="15" customHeight="1">
      <c r="B9" s="79" t="s">
        <v>8</v>
      </c>
      <c r="C9" s="79"/>
      <c r="D9" s="79"/>
      <c r="E9" s="79"/>
      <c r="F9" s="84">
        <f>X38</f>
        <v>313000</v>
      </c>
      <c r="G9" s="84"/>
      <c r="H9" s="84"/>
      <c r="I9" s="84"/>
      <c r="J9" s="84"/>
      <c r="K9" s="6"/>
      <c r="P9" s="36" t="s">
        <v>5</v>
      </c>
      <c r="Q9" s="36"/>
      <c r="R9" s="33" t="s">
        <v>68</v>
      </c>
      <c r="S9" s="33"/>
      <c r="T9" s="33"/>
      <c r="U9" s="33"/>
      <c r="V9" s="33"/>
      <c r="W9" s="33"/>
      <c r="X9" s="33"/>
      <c r="Y9" s="33"/>
      <c r="Z9" s="33"/>
    </row>
    <row r="10" spans="1:26" ht="15" customHeight="1">
      <c r="B10" s="80"/>
      <c r="C10" s="80"/>
      <c r="D10" s="80"/>
      <c r="E10" s="80"/>
      <c r="F10" s="85"/>
      <c r="G10" s="85"/>
      <c r="H10" s="85"/>
      <c r="I10" s="85"/>
      <c r="J10" s="85"/>
      <c r="K10" s="20" t="s">
        <v>22</v>
      </c>
      <c r="P10" s="39"/>
      <c r="Q10" s="39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5" customHeight="1">
      <c r="D11" s="7"/>
      <c r="E11" s="7"/>
      <c r="F11" s="81" t="s">
        <v>19</v>
      </c>
      <c r="G11" s="81"/>
      <c r="H11" s="81"/>
      <c r="I11" s="87">
        <f>X40</f>
        <v>25040</v>
      </c>
      <c r="J11" s="87"/>
      <c r="P11" s="36" t="s">
        <v>6</v>
      </c>
      <c r="Q11" s="36"/>
      <c r="R11" s="33" t="s">
        <v>26</v>
      </c>
      <c r="S11" s="33"/>
      <c r="T11" s="33"/>
      <c r="U11" s="33"/>
      <c r="V11" s="86"/>
      <c r="W11" s="86"/>
      <c r="X11" s="33"/>
      <c r="Y11" s="33"/>
      <c r="Z11" s="33"/>
    </row>
    <row r="12" spans="1:26" ht="15" customHeight="1">
      <c r="P12" s="34" t="s">
        <v>16</v>
      </c>
      <c r="Q12" s="34"/>
      <c r="R12" s="88" t="s">
        <v>25</v>
      </c>
      <c r="S12" s="33"/>
      <c r="T12" s="33"/>
      <c r="U12" s="33"/>
      <c r="V12" s="33"/>
      <c r="W12" s="33"/>
      <c r="X12" s="33"/>
      <c r="Y12" s="33"/>
      <c r="Z12" s="33"/>
    </row>
    <row r="13" spans="1:26" ht="15" customHeight="1"/>
    <row r="14" spans="1:26" ht="18.75" customHeight="1">
      <c r="B14" s="18" t="s">
        <v>15</v>
      </c>
      <c r="C14" s="24" t="s">
        <v>29</v>
      </c>
      <c r="D14" s="22"/>
      <c r="E14" s="22"/>
      <c r="F14" s="22"/>
      <c r="G14" s="22" t="s">
        <v>28</v>
      </c>
      <c r="H14" s="22"/>
      <c r="I14" s="22"/>
      <c r="J14" s="22"/>
      <c r="K14" s="22"/>
      <c r="L14" s="22"/>
      <c r="M14" s="22"/>
      <c r="N14" s="22"/>
      <c r="O14" s="22"/>
      <c r="P14" s="23"/>
      <c r="Q14" s="91" t="s">
        <v>9</v>
      </c>
      <c r="R14" s="92"/>
      <c r="S14" s="91" t="s">
        <v>10</v>
      </c>
      <c r="T14" s="92"/>
      <c r="U14" s="91" t="s">
        <v>12</v>
      </c>
      <c r="V14" s="153"/>
      <c r="W14" s="92"/>
      <c r="X14" s="153" t="s">
        <v>11</v>
      </c>
      <c r="Y14" s="153"/>
      <c r="Z14" s="92"/>
    </row>
    <row r="15" spans="1:26" ht="15" customHeight="1">
      <c r="B15" s="14"/>
      <c r="C15" s="40" t="s">
        <v>38</v>
      </c>
      <c r="D15" s="41"/>
      <c r="E15" s="41"/>
      <c r="F15" s="41"/>
      <c r="G15" s="136"/>
      <c r="H15" s="136"/>
      <c r="I15" s="136"/>
      <c r="J15" s="136"/>
      <c r="K15" s="136"/>
      <c r="L15" s="136"/>
      <c r="M15" s="136"/>
      <c r="N15" s="136"/>
      <c r="O15" s="136"/>
      <c r="P15" s="137"/>
      <c r="Q15" s="37"/>
      <c r="R15" s="38"/>
      <c r="S15" s="25"/>
      <c r="T15" s="25"/>
      <c r="U15" s="26"/>
      <c r="V15" s="27"/>
      <c r="W15" s="28"/>
      <c r="X15" s="89" t="str">
        <f>IF((Q15*U15)=0,"",Q15*U15)</f>
        <v/>
      </c>
      <c r="Y15" s="89"/>
      <c r="Z15" s="90"/>
    </row>
    <row r="16" spans="1:26" ht="15" customHeight="1">
      <c r="B16" s="16"/>
      <c r="C16" s="42"/>
      <c r="D16" s="43"/>
      <c r="E16" s="43"/>
      <c r="F16" s="43"/>
      <c r="G16" s="138" t="s">
        <v>31</v>
      </c>
      <c r="H16" s="138"/>
      <c r="I16" s="138"/>
      <c r="J16" s="138"/>
      <c r="K16" s="138"/>
      <c r="L16" s="138"/>
      <c r="M16" s="138"/>
      <c r="N16" s="138"/>
      <c r="O16" s="138"/>
      <c r="P16" s="139"/>
      <c r="Q16" s="61">
        <v>1</v>
      </c>
      <c r="R16" s="62"/>
      <c r="S16" s="63" t="s">
        <v>27</v>
      </c>
      <c r="T16" s="63"/>
      <c r="U16" s="58">
        <v>30000</v>
      </c>
      <c r="V16" s="67"/>
      <c r="W16" s="68"/>
      <c r="X16" s="64">
        <f t="shared" ref="X16:X25" si="0">IF((Q16*U16)=0,"",Q16*U16)</f>
        <v>30000</v>
      </c>
      <c r="Y16" s="56"/>
      <c r="Z16" s="57"/>
    </row>
    <row r="17" spans="2:38" ht="15" customHeight="1">
      <c r="B17" s="15"/>
      <c r="C17" s="74"/>
      <c r="D17" s="75"/>
      <c r="E17" s="75"/>
      <c r="F17" s="75"/>
      <c r="G17" s="140" t="s">
        <v>52</v>
      </c>
      <c r="H17" s="140"/>
      <c r="I17" s="140"/>
      <c r="J17" s="140"/>
      <c r="K17" s="140"/>
      <c r="L17" s="140"/>
      <c r="M17" s="140"/>
      <c r="N17" s="140"/>
      <c r="O17" s="140"/>
      <c r="P17" s="141"/>
      <c r="Q17" s="29">
        <v>1</v>
      </c>
      <c r="R17" s="30"/>
      <c r="S17" s="72" t="s">
        <v>30</v>
      </c>
      <c r="T17" s="73"/>
      <c r="U17" s="69">
        <v>3000</v>
      </c>
      <c r="V17" s="70"/>
      <c r="W17" s="71"/>
      <c r="X17" s="154">
        <f t="shared" si="0"/>
        <v>3000</v>
      </c>
      <c r="Y17" s="65"/>
      <c r="Z17" s="66"/>
    </row>
    <row r="18" spans="2:38" ht="15" customHeight="1">
      <c r="B18" s="16"/>
      <c r="C18" s="42"/>
      <c r="D18" s="43"/>
      <c r="E18" s="43"/>
      <c r="F18" s="43"/>
      <c r="G18" s="138" t="s">
        <v>33</v>
      </c>
      <c r="H18" s="138"/>
      <c r="I18" s="138"/>
      <c r="J18" s="138"/>
      <c r="K18" s="138"/>
      <c r="L18" s="138"/>
      <c r="M18" s="138"/>
      <c r="N18" s="138"/>
      <c r="O18" s="138"/>
      <c r="P18" s="139"/>
      <c r="Q18" s="61">
        <v>1</v>
      </c>
      <c r="R18" s="62"/>
      <c r="S18" s="63" t="s">
        <v>27</v>
      </c>
      <c r="T18" s="63"/>
      <c r="U18" s="58">
        <v>40000</v>
      </c>
      <c r="V18" s="67"/>
      <c r="W18" s="68"/>
      <c r="X18" s="64">
        <f t="shared" si="0"/>
        <v>40000</v>
      </c>
      <c r="Y18" s="56"/>
      <c r="Z18" s="57"/>
    </row>
    <row r="19" spans="2:38" ht="15" customHeight="1">
      <c r="B19" s="15"/>
      <c r="C19" s="74"/>
      <c r="D19" s="75"/>
      <c r="E19" s="75"/>
      <c r="F19" s="75"/>
      <c r="G19" s="140" t="s">
        <v>32</v>
      </c>
      <c r="H19" s="140"/>
      <c r="I19" s="140"/>
      <c r="J19" s="140"/>
      <c r="K19" s="140"/>
      <c r="L19" s="140"/>
      <c r="M19" s="140"/>
      <c r="N19" s="140"/>
      <c r="O19" s="140"/>
      <c r="P19" s="141"/>
      <c r="Q19" s="29">
        <v>1</v>
      </c>
      <c r="R19" s="30"/>
      <c r="S19" s="25" t="s">
        <v>27</v>
      </c>
      <c r="T19" s="25"/>
      <c r="U19" s="69">
        <v>20000</v>
      </c>
      <c r="V19" s="70"/>
      <c r="W19" s="71"/>
      <c r="X19" s="65">
        <f t="shared" si="0"/>
        <v>20000</v>
      </c>
      <c r="Y19" s="65"/>
      <c r="Z19" s="66"/>
    </row>
    <row r="20" spans="2:38" ht="15" customHeight="1">
      <c r="B20" s="16"/>
      <c r="C20" s="42"/>
      <c r="D20" s="43"/>
      <c r="E20" s="43"/>
      <c r="F20" s="43"/>
      <c r="G20" s="138" t="s">
        <v>34</v>
      </c>
      <c r="H20" s="138"/>
      <c r="I20" s="138"/>
      <c r="J20" s="138"/>
      <c r="K20" s="138"/>
      <c r="L20" s="138"/>
      <c r="M20" s="138"/>
      <c r="N20" s="138"/>
      <c r="O20" s="138"/>
      <c r="P20" s="139"/>
      <c r="Q20" s="61">
        <v>1</v>
      </c>
      <c r="R20" s="62"/>
      <c r="S20" s="63" t="s">
        <v>27</v>
      </c>
      <c r="T20" s="63"/>
      <c r="U20" s="58">
        <v>15000</v>
      </c>
      <c r="V20" s="67"/>
      <c r="W20" s="68"/>
      <c r="X20" s="64">
        <f t="shared" si="0"/>
        <v>15000</v>
      </c>
      <c r="Y20" s="56"/>
      <c r="Z20" s="57"/>
    </row>
    <row r="21" spans="2:38" ht="15" customHeight="1">
      <c r="B21" s="15"/>
      <c r="C21" s="74"/>
      <c r="D21" s="75"/>
      <c r="E21" s="75"/>
      <c r="F21" s="75"/>
      <c r="G21" s="140" t="s">
        <v>35</v>
      </c>
      <c r="H21" s="140"/>
      <c r="I21" s="140"/>
      <c r="J21" s="140"/>
      <c r="K21" s="140"/>
      <c r="L21" s="140"/>
      <c r="M21" s="140"/>
      <c r="N21" s="140"/>
      <c r="O21" s="140"/>
      <c r="P21" s="141"/>
      <c r="Q21" s="29">
        <v>1</v>
      </c>
      <c r="R21" s="30"/>
      <c r="S21" s="25" t="s">
        <v>27</v>
      </c>
      <c r="T21" s="25"/>
      <c r="U21" s="69">
        <v>15000</v>
      </c>
      <c r="V21" s="70"/>
      <c r="W21" s="71"/>
      <c r="X21" s="65">
        <f t="shared" si="0"/>
        <v>15000</v>
      </c>
      <c r="Y21" s="65"/>
      <c r="Z21" s="66"/>
    </row>
    <row r="22" spans="2:38" ht="15" customHeight="1">
      <c r="B22" s="16"/>
      <c r="C22" s="42"/>
      <c r="D22" s="43"/>
      <c r="E22" s="43"/>
      <c r="F22" s="43"/>
      <c r="G22" s="138" t="s">
        <v>36</v>
      </c>
      <c r="H22" s="138"/>
      <c r="I22" s="138"/>
      <c r="J22" s="138"/>
      <c r="K22" s="138"/>
      <c r="L22" s="138"/>
      <c r="M22" s="138"/>
      <c r="N22" s="138"/>
      <c r="O22" s="138"/>
      <c r="P22" s="139"/>
      <c r="Q22" s="61">
        <v>1</v>
      </c>
      <c r="R22" s="62"/>
      <c r="S22" s="63" t="s">
        <v>27</v>
      </c>
      <c r="T22" s="63"/>
      <c r="U22" s="58">
        <v>5000</v>
      </c>
      <c r="V22" s="67"/>
      <c r="W22" s="68"/>
      <c r="X22" s="64">
        <f t="shared" si="0"/>
        <v>5000</v>
      </c>
      <c r="Y22" s="56"/>
      <c r="Z22" s="57"/>
    </row>
    <row r="23" spans="2:38" ht="15" customHeight="1">
      <c r="B23" s="15"/>
      <c r="C23" s="74" t="s">
        <v>37</v>
      </c>
      <c r="D23" s="75"/>
      <c r="E23" s="75"/>
      <c r="F23" s="75"/>
      <c r="G23" s="140"/>
      <c r="H23" s="140"/>
      <c r="I23" s="140"/>
      <c r="J23" s="140"/>
      <c r="K23" s="140"/>
      <c r="L23" s="140"/>
      <c r="M23" s="140"/>
      <c r="N23" s="140"/>
      <c r="O23" s="140"/>
      <c r="P23" s="141"/>
      <c r="Q23" s="29"/>
      <c r="R23" s="30"/>
      <c r="S23" s="25"/>
      <c r="T23" s="25"/>
      <c r="U23" s="69"/>
      <c r="V23" s="70"/>
      <c r="W23" s="71"/>
      <c r="X23" s="65" t="str">
        <f t="shared" si="0"/>
        <v/>
      </c>
      <c r="Y23" s="65"/>
      <c r="Z23" s="66"/>
    </row>
    <row r="24" spans="2:38" ht="15" customHeight="1">
      <c r="B24" s="16"/>
      <c r="C24" s="42"/>
      <c r="D24" s="43"/>
      <c r="E24" s="43"/>
      <c r="F24" s="43"/>
      <c r="G24" s="138" t="s">
        <v>39</v>
      </c>
      <c r="H24" s="138"/>
      <c r="I24" s="138"/>
      <c r="J24" s="138"/>
      <c r="K24" s="138"/>
      <c r="L24" s="138"/>
      <c r="M24" s="138"/>
      <c r="N24" s="138"/>
      <c r="O24" s="138"/>
      <c r="P24" s="139"/>
      <c r="Q24" s="61">
        <v>1</v>
      </c>
      <c r="R24" s="62"/>
      <c r="S24" s="63" t="s">
        <v>27</v>
      </c>
      <c r="T24" s="63"/>
      <c r="U24" s="58">
        <v>80000</v>
      </c>
      <c r="V24" s="67"/>
      <c r="W24" s="68"/>
      <c r="X24" s="64">
        <f t="shared" si="0"/>
        <v>80000</v>
      </c>
      <c r="Y24" s="56"/>
      <c r="Z24" s="57"/>
      <c r="AA24" s="1" t="s">
        <v>54</v>
      </c>
    </row>
    <row r="25" spans="2:38" ht="15" customHeight="1">
      <c r="B25" s="15"/>
      <c r="C25" s="74"/>
      <c r="D25" s="75"/>
      <c r="E25" s="75"/>
      <c r="F25" s="75"/>
      <c r="G25" s="140" t="s">
        <v>40</v>
      </c>
      <c r="H25" s="140"/>
      <c r="I25" s="140"/>
      <c r="J25" s="140"/>
      <c r="K25" s="140"/>
      <c r="L25" s="140"/>
      <c r="M25" s="140"/>
      <c r="N25" s="140"/>
      <c r="O25" s="140"/>
      <c r="P25" s="141"/>
      <c r="Q25" s="29">
        <v>1</v>
      </c>
      <c r="R25" s="30"/>
      <c r="S25" s="25" t="s">
        <v>27</v>
      </c>
      <c r="T25" s="25"/>
      <c r="U25" s="69">
        <v>30000</v>
      </c>
      <c r="V25" s="70"/>
      <c r="W25" s="71"/>
      <c r="X25" s="65">
        <f t="shared" si="0"/>
        <v>30000</v>
      </c>
      <c r="Y25" s="65"/>
      <c r="Z25" s="66"/>
      <c r="AA25" s="1" t="s">
        <v>67</v>
      </c>
    </row>
    <row r="26" spans="2:38" ht="15" customHeight="1">
      <c r="B26" s="15"/>
      <c r="C26" s="74"/>
      <c r="D26" s="75"/>
      <c r="E26" s="75"/>
      <c r="F26" s="75"/>
      <c r="G26" s="140" t="s">
        <v>41</v>
      </c>
      <c r="H26" s="140"/>
      <c r="I26" s="140"/>
      <c r="J26" s="140"/>
      <c r="K26" s="140"/>
      <c r="L26" s="140"/>
      <c r="M26" s="140"/>
      <c r="N26" s="140"/>
      <c r="O26" s="140"/>
      <c r="P26" s="141"/>
      <c r="Q26" s="29">
        <v>1</v>
      </c>
      <c r="R26" s="30"/>
      <c r="S26" s="25" t="s">
        <v>27</v>
      </c>
      <c r="T26" s="25"/>
      <c r="U26" s="69">
        <v>20000</v>
      </c>
      <c r="V26" s="70"/>
      <c r="W26" s="71"/>
      <c r="X26" s="65">
        <f t="shared" ref="X26:X37" si="1">IF((Q26*U26)=0,"",Q26*U26)</f>
        <v>20000</v>
      </c>
      <c r="Y26" s="65"/>
      <c r="Z26" s="66"/>
      <c r="AA26" s="1" t="s">
        <v>67</v>
      </c>
    </row>
    <row r="27" spans="2:38" ht="15" customHeight="1">
      <c r="B27" s="16"/>
      <c r="C27" s="42"/>
      <c r="D27" s="43"/>
      <c r="E27" s="43"/>
      <c r="F27" s="43"/>
      <c r="G27" s="138" t="s">
        <v>42</v>
      </c>
      <c r="H27" s="138"/>
      <c r="I27" s="138"/>
      <c r="J27" s="138"/>
      <c r="K27" s="138"/>
      <c r="L27" s="138"/>
      <c r="M27" s="138"/>
      <c r="N27" s="138"/>
      <c r="O27" s="138"/>
      <c r="P27" s="139"/>
      <c r="Q27" s="61">
        <v>1</v>
      </c>
      <c r="R27" s="62"/>
      <c r="S27" s="63" t="s">
        <v>27</v>
      </c>
      <c r="T27" s="63"/>
      <c r="U27" s="58">
        <v>50000</v>
      </c>
      <c r="V27" s="67"/>
      <c r="W27" s="68"/>
      <c r="X27" s="56">
        <f t="shared" si="1"/>
        <v>50000</v>
      </c>
      <c r="Y27" s="56"/>
      <c r="Z27" s="57"/>
    </row>
    <row r="28" spans="2:38" ht="15" customHeight="1">
      <c r="B28" s="16"/>
      <c r="C28" s="42"/>
      <c r="D28" s="43"/>
      <c r="E28" s="43"/>
      <c r="F28" s="43"/>
      <c r="G28" s="138" t="s">
        <v>43</v>
      </c>
      <c r="H28" s="138"/>
      <c r="I28" s="138"/>
      <c r="J28" s="138"/>
      <c r="K28" s="138"/>
      <c r="L28" s="138"/>
      <c r="M28" s="138"/>
      <c r="N28" s="138"/>
      <c r="O28" s="138"/>
      <c r="P28" s="139"/>
      <c r="Q28" s="61">
        <v>1</v>
      </c>
      <c r="R28" s="62"/>
      <c r="S28" s="124" t="s">
        <v>45</v>
      </c>
      <c r="T28" s="125"/>
      <c r="U28" s="58">
        <v>5000</v>
      </c>
      <c r="V28" s="67"/>
      <c r="W28" s="68"/>
      <c r="X28" s="65">
        <f t="shared" si="1"/>
        <v>5000</v>
      </c>
      <c r="Y28" s="65"/>
      <c r="Z28" s="66"/>
    </row>
    <row r="29" spans="2:38" ht="15" customHeight="1">
      <c r="B29" s="16"/>
      <c r="C29" s="42"/>
      <c r="D29" s="43"/>
      <c r="E29" s="43"/>
      <c r="F29" s="43"/>
      <c r="G29" s="138"/>
      <c r="H29" s="138"/>
      <c r="I29" s="138"/>
      <c r="J29" s="138"/>
      <c r="K29" s="138"/>
      <c r="L29" s="138"/>
      <c r="M29" s="138"/>
      <c r="N29" s="138"/>
      <c r="O29" s="138"/>
      <c r="P29" s="139"/>
      <c r="Q29" s="61"/>
      <c r="R29" s="127"/>
      <c r="S29" s="124"/>
      <c r="T29" s="125"/>
      <c r="U29" s="58"/>
      <c r="V29" s="102"/>
      <c r="W29" s="103"/>
      <c r="X29" s="56" t="str">
        <f t="shared" si="1"/>
        <v/>
      </c>
      <c r="Y29" s="56"/>
      <c r="Z29" s="57"/>
    </row>
    <row r="30" spans="2:38" ht="15" customHeight="1">
      <c r="B30" s="16"/>
      <c r="C30" s="42"/>
      <c r="D30" s="43"/>
      <c r="E30" s="43"/>
      <c r="F30" s="43"/>
      <c r="G30" s="138"/>
      <c r="H30" s="138"/>
      <c r="I30" s="138"/>
      <c r="J30" s="138"/>
      <c r="K30" s="138"/>
      <c r="L30" s="138"/>
      <c r="M30" s="138"/>
      <c r="N30" s="138"/>
      <c r="O30" s="138"/>
      <c r="P30" s="139"/>
      <c r="Q30" s="61"/>
      <c r="R30" s="126"/>
      <c r="S30" s="124"/>
      <c r="T30" s="125"/>
      <c r="U30" s="58"/>
      <c r="V30" s="59"/>
      <c r="W30" s="60"/>
      <c r="X30" s="65" t="str">
        <f t="shared" si="1"/>
        <v/>
      </c>
      <c r="Y30" s="65"/>
      <c r="Z30" s="66"/>
    </row>
    <row r="31" spans="2:38" ht="15" customHeight="1">
      <c r="B31" s="16"/>
      <c r="C31" s="42"/>
      <c r="D31" s="43"/>
      <c r="E31" s="43"/>
      <c r="F31" s="43"/>
      <c r="G31" s="138"/>
      <c r="H31" s="138"/>
      <c r="I31" s="138"/>
      <c r="J31" s="138"/>
      <c r="K31" s="138"/>
      <c r="L31" s="138"/>
      <c r="M31" s="138"/>
      <c r="N31" s="138"/>
      <c r="O31" s="138"/>
      <c r="P31" s="139"/>
      <c r="Q31" s="61"/>
      <c r="R31" s="127"/>
      <c r="S31" s="124"/>
      <c r="T31" s="125"/>
      <c r="U31" s="58"/>
      <c r="V31" s="102"/>
      <c r="W31" s="103"/>
      <c r="X31" s="56" t="str">
        <f t="shared" si="1"/>
        <v/>
      </c>
      <c r="Y31" s="56"/>
      <c r="Z31" s="57"/>
      <c r="AC31" s="21"/>
      <c r="AD31" s="132" t="s">
        <v>48</v>
      </c>
      <c r="AE31" s="132"/>
      <c r="AF31" s="132"/>
      <c r="AG31" s="132"/>
      <c r="AH31" s="131">
        <v>60000</v>
      </c>
      <c r="AI31" s="131"/>
      <c r="AJ31" s="131"/>
      <c r="AK31" s="131"/>
      <c r="AL31" s="131"/>
    </row>
    <row r="32" spans="2:38" ht="15" customHeight="1">
      <c r="B32" s="16"/>
      <c r="C32" s="42"/>
      <c r="D32" s="43"/>
      <c r="E32" s="43"/>
      <c r="F32" s="43"/>
      <c r="G32" s="138"/>
      <c r="H32" s="138"/>
      <c r="I32" s="138"/>
      <c r="J32" s="138"/>
      <c r="K32" s="138"/>
      <c r="L32" s="138"/>
      <c r="M32" s="138"/>
      <c r="N32" s="138"/>
      <c r="O32" s="138"/>
      <c r="P32" s="139"/>
      <c r="Q32" s="61"/>
      <c r="R32" s="126"/>
      <c r="S32" s="124"/>
      <c r="T32" s="125"/>
      <c r="U32" s="58"/>
      <c r="V32" s="59"/>
      <c r="W32" s="60"/>
      <c r="X32" s="65" t="str">
        <f t="shared" si="1"/>
        <v/>
      </c>
      <c r="Y32" s="65"/>
      <c r="Z32" s="66"/>
      <c r="AC32" s="21"/>
      <c r="AD32" s="132" t="s">
        <v>49</v>
      </c>
      <c r="AE32" s="132"/>
      <c r="AF32" s="132"/>
      <c r="AG32" s="132"/>
      <c r="AH32" s="131">
        <v>40040</v>
      </c>
      <c r="AI32" s="131"/>
      <c r="AJ32" s="131"/>
      <c r="AK32" s="131"/>
      <c r="AL32" s="131"/>
    </row>
    <row r="33" spans="2:38" ht="15" customHeight="1">
      <c r="B33" s="16"/>
      <c r="C33" s="42"/>
      <c r="D33" s="43"/>
      <c r="E33" s="43"/>
      <c r="F33" s="43"/>
      <c r="G33" s="138"/>
      <c r="H33" s="138"/>
      <c r="I33" s="138"/>
      <c r="J33" s="138"/>
      <c r="K33" s="138"/>
      <c r="L33" s="138"/>
      <c r="M33" s="138"/>
      <c r="N33" s="138"/>
      <c r="O33" s="138"/>
      <c r="P33" s="139"/>
      <c r="Q33" s="61"/>
      <c r="R33" s="62"/>
      <c r="S33" s="63"/>
      <c r="T33" s="63"/>
      <c r="U33" s="58"/>
      <c r="V33" s="67"/>
      <c r="W33" s="68"/>
      <c r="X33" s="56" t="str">
        <f>IF((Q33*U33)=0,"",Q33*U33)</f>
        <v/>
      </c>
      <c r="Y33" s="56"/>
      <c r="Z33" s="57"/>
      <c r="AC33" s="21"/>
      <c r="AD33" s="132" t="s">
        <v>50</v>
      </c>
      <c r="AE33" s="132"/>
      <c r="AF33" s="132"/>
      <c r="AG33" s="132"/>
      <c r="AH33" s="142">
        <v>110000</v>
      </c>
      <c r="AI33" s="142"/>
      <c r="AJ33" s="142"/>
      <c r="AK33" s="142"/>
      <c r="AL33" s="142"/>
    </row>
    <row r="34" spans="2:38" ht="15" customHeight="1">
      <c r="B34" s="16"/>
      <c r="C34" s="42"/>
      <c r="D34" s="43"/>
      <c r="E34" s="43"/>
      <c r="F34" s="43"/>
      <c r="G34" s="138"/>
      <c r="H34" s="138"/>
      <c r="I34" s="138"/>
      <c r="J34" s="138"/>
      <c r="K34" s="138"/>
      <c r="L34" s="138"/>
      <c r="M34" s="138"/>
      <c r="N34" s="138"/>
      <c r="O34" s="138"/>
      <c r="P34" s="139"/>
      <c r="Q34" s="61"/>
      <c r="R34" s="126"/>
      <c r="S34" s="124"/>
      <c r="T34" s="125"/>
      <c r="U34" s="58"/>
      <c r="V34" s="59"/>
      <c r="W34" s="60"/>
      <c r="X34" s="56" t="str">
        <f>IF((Q34*U34)=0,"",Q34*U34)</f>
        <v/>
      </c>
      <c r="Y34" s="56"/>
      <c r="Z34" s="57"/>
      <c r="AC34" s="21"/>
      <c r="AD34" s="132" t="s">
        <v>51</v>
      </c>
      <c r="AE34" s="132"/>
      <c r="AF34" s="132"/>
      <c r="AG34" s="132"/>
      <c r="AH34" s="142">
        <v>30000</v>
      </c>
      <c r="AI34" s="142"/>
      <c r="AJ34" s="142"/>
      <c r="AK34" s="142"/>
      <c r="AL34" s="142"/>
    </row>
    <row r="35" spans="2:38" ht="15" customHeight="1">
      <c r="B35" s="16"/>
      <c r="C35" s="42"/>
      <c r="D35" s="43"/>
      <c r="E35" s="43"/>
      <c r="F35" s="43"/>
      <c r="G35" s="138"/>
      <c r="H35" s="138"/>
      <c r="I35" s="138"/>
      <c r="J35" s="138"/>
      <c r="K35" s="138"/>
      <c r="L35" s="138"/>
      <c r="M35" s="138"/>
      <c r="N35" s="138"/>
      <c r="O35" s="138"/>
      <c r="P35" s="139"/>
      <c r="Q35" s="61"/>
      <c r="R35" s="62"/>
      <c r="S35" s="124"/>
      <c r="T35" s="125"/>
      <c r="U35" s="58"/>
      <c r="V35" s="102"/>
      <c r="W35" s="103"/>
      <c r="X35" s="56" t="str">
        <f>IF((Q35*U35)=0,"",Q35*U35)</f>
        <v/>
      </c>
      <c r="Y35" s="56"/>
      <c r="Z35" s="57"/>
      <c r="AC35" s="21"/>
      <c r="AD35" s="132" t="s">
        <v>46</v>
      </c>
      <c r="AE35" s="132"/>
      <c r="AF35" s="132"/>
      <c r="AG35" s="132"/>
      <c r="AH35" s="142">
        <v>35000</v>
      </c>
      <c r="AI35" s="142"/>
      <c r="AJ35" s="142"/>
      <c r="AK35" s="142"/>
      <c r="AL35" s="142"/>
    </row>
    <row r="36" spans="2:38" ht="15" customHeight="1">
      <c r="B36" s="17"/>
      <c r="C36" s="133"/>
      <c r="D36" s="134"/>
      <c r="E36" s="134"/>
      <c r="F36" s="134"/>
      <c r="G36" s="143"/>
      <c r="H36" s="143"/>
      <c r="I36" s="143"/>
      <c r="J36" s="143"/>
      <c r="K36" s="143"/>
      <c r="L36" s="143"/>
      <c r="M36" s="143"/>
      <c r="N36" s="143"/>
      <c r="O36" s="143"/>
      <c r="P36" s="144"/>
      <c r="Q36" s="120"/>
      <c r="R36" s="121"/>
      <c r="S36" s="119"/>
      <c r="T36" s="119"/>
      <c r="U36" s="150"/>
      <c r="V36" s="151"/>
      <c r="W36" s="152"/>
      <c r="X36" s="56" t="str">
        <f>IF((Q36*U36)=0,"",Q36*U36)</f>
        <v/>
      </c>
      <c r="Y36" s="56"/>
      <c r="Z36" s="57"/>
      <c r="AC36" s="132" t="s">
        <v>53</v>
      </c>
      <c r="AD36" s="132"/>
      <c r="AE36" s="132"/>
      <c r="AF36" s="132"/>
      <c r="AG36" s="132"/>
      <c r="AH36" s="142">
        <v>3000</v>
      </c>
      <c r="AI36" s="142"/>
      <c r="AJ36" s="142"/>
      <c r="AK36" s="142"/>
      <c r="AL36" s="142"/>
    </row>
    <row r="37" spans="2:38" ht="15" customHeight="1">
      <c r="B37" s="19"/>
      <c r="C37" s="135"/>
      <c r="D37" s="130"/>
      <c r="E37" s="130"/>
      <c r="F37" s="130"/>
      <c r="G37" s="145"/>
      <c r="H37" s="145"/>
      <c r="I37" s="145"/>
      <c r="J37" s="145"/>
      <c r="K37" s="145"/>
      <c r="L37" s="145"/>
      <c r="M37" s="145"/>
      <c r="N37" s="145"/>
      <c r="O37" s="145"/>
      <c r="P37" s="146"/>
      <c r="Q37" s="122"/>
      <c r="R37" s="123"/>
      <c r="S37" s="130"/>
      <c r="T37" s="130"/>
      <c r="U37" s="147"/>
      <c r="V37" s="148"/>
      <c r="W37" s="149"/>
      <c r="X37" s="56" t="str">
        <f t="shared" si="1"/>
        <v/>
      </c>
      <c r="Y37" s="56"/>
      <c r="Z37" s="57"/>
      <c r="AC37" s="21"/>
      <c r="AD37" s="132"/>
      <c r="AE37" s="132"/>
      <c r="AF37" s="132"/>
      <c r="AG37" s="132"/>
      <c r="AH37" s="142"/>
      <c r="AI37" s="142"/>
      <c r="AJ37" s="142"/>
      <c r="AK37" s="142"/>
      <c r="AL37" s="142"/>
    </row>
    <row r="38" spans="2:38" ht="15" customHeight="1">
      <c r="B38" s="8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116" t="s">
        <v>0</v>
      </c>
      <c r="V38" s="116"/>
      <c r="W38" s="116"/>
      <c r="X38" s="107">
        <f>IF(SUM(X15:Z37)=0,"0",SUM(X15:Z37))</f>
        <v>313000</v>
      </c>
      <c r="Y38" s="108"/>
      <c r="Z38" s="109"/>
      <c r="AC38" s="132" t="s">
        <v>47</v>
      </c>
      <c r="AD38" s="132"/>
      <c r="AE38" s="132"/>
      <c r="AF38" s="132"/>
      <c r="AG38" s="132"/>
      <c r="AH38" s="131">
        <f>SUM(AH31:AL37)</f>
        <v>278040</v>
      </c>
      <c r="AI38" s="132"/>
      <c r="AJ38" s="132"/>
      <c r="AK38" s="132"/>
      <c r="AL38" s="132"/>
    </row>
    <row r="39" spans="2:38" ht="15" customHeight="1">
      <c r="B39" s="8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128" t="s">
        <v>20</v>
      </c>
      <c r="V39" s="128"/>
      <c r="W39" s="129"/>
      <c r="X39" s="104">
        <v>0.08</v>
      </c>
      <c r="Y39" s="105"/>
      <c r="Z39" s="106"/>
    </row>
    <row r="40" spans="2:38" ht="15" customHeight="1">
      <c r="B40" s="8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117" t="s">
        <v>21</v>
      </c>
      <c r="V40" s="116"/>
      <c r="W40" s="116"/>
      <c r="X40" s="110">
        <f>INT((X38*X39))/1</f>
        <v>25040</v>
      </c>
      <c r="Y40" s="111"/>
      <c r="Z40" s="112"/>
    </row>
    <row r="41" spans="2:38" ht="15" customHeight="1"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 t="s">
        <v>1</v>
      </c>
      <c r="V41" s="118"/>
      <c r="W41" s="118"/>
      <c r="X41" s="113">
        <f>IF(X38="","",SUM(X38:Z40))</f>
        <v>338040.08</v>
      </c>
      <c r="Y41" s="114"/>
      <c r="Z41" s="115"/>
      <c r="AA41" s="1" t="s">
        <v>65</v>
      </c>
    </row>
    <row r="42" spans="2:38" ht="7.5" customHeight="1"/>
    <row r="43" spans="2:38" ht="15" customHeight="1">
      <c r="B43" s="12" t="s">
        <v>13</v>
      </c>
      <c r="C43" s="13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2"/>
    </row>
    <row r="44" spans="2:38" ht="15" customHeight="1">
      <c r="B44" s="99" t="s">
        <v>55</v>
      </c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1"/>
    </row>
    <row r="45" spans="2:38" ht="15" customHeight="1">
      <c r="B45" s="99" t="s">
        <v>56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1"/>
    </row>
    <row r="46" spans="2:38" ht="15" customHeight="1">
      <c r="B46" s="99" t="s">
        <v>57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1"/>
    </row>
    <row r="47" spans="2:38" ht="15" customHeight="1">
      <c r="B47" s="99" t="s">
        <v>58</v>
      </c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1"/>
    </row>
    <row r="48" spans="2:38" ht="18.75" customHeight="1">
      <c r="B48" s="44" t="s">
        <v>59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6"/>
    </row>
    <row r="49" spans="2:26" ht="18.75" customHeight="1">
      <c r="B49" s="47" t="s">
        <v>60</v>
      </c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9"/>
    </row>
    <row r="50" spans="2:26" ht="18.75" customHeight="1">
      <c r="B50" s="93" t="s">
        <v>61</v>
      </c>
      <c r="C50" s="94"/>
      <c r="D50" s="94"/>
      <c r="E50" s="95"/>
      <c r="F50" s="50" t="s">
        <v>62</v>
      </c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2"/>
    </row>
    <row r="51" spans="2:26" ht="18.75" customHeight="1">
      <c r="B51" s="96" t="s">
        <v>63</v>
      </c>
      <c r="C51" s="97"/>
      <c r="D51" s="97"/>
      <c r="E51" s="98"/>
      <c r="F51" s="53" t="s">
        <v>64</v>
      </c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5"/>
    </row>
  </sheetData>
  <mergeCells count="206">
    <mergeCell ref="C19:F19"/>
    <mergeCell ref="C20:F20"/>
    <mergeCell ref="C21:F21"/>
    <mergeCell ref="C22:F22"/>
    <mergeCell ref="C23:F23"/>
    <mergeCell ref="C24:F24"/>
    <mergeCell ref="C25:F25"/>
    <mergeCell ref="Q24:R24"/>
    <mergeCell ref="X14:Z14"/>
    <mergeCell ref="Q21:R21"/>
    <mergeCell ref="U14:W14"/>
    <mergeCell ref="U16:W16"/>
    <mergeCell ref="U17:W17"/>
    <mergeCell ref="U18:W18"/>
    <mergeCell ref="U19:W19"/>
    <mergeCell ref="Q25:R25"/>
    <mergeCell ref="X16:Z16"/>
    <mergeCell ref="X17:Z17"/>
    <mergeCell ref="U21:W21"/>
    <mergeCell ref="U22:W22"/>
    <mergeCell ref="Q23:R23"/>
    <mergeCell ref="S19:T19"/>
    <mergeCell ref="S20:T20"/>
    <mergeCell ref="Q19:R19"/>
    <mergeCell ref="G24:P24"/>
    <mergeCell ref="G25:P25"/>
    <mergeCell ref="G26:P26"/>
    <mergeCell ref="G27:P27"/>
    <mergeCell ref="G28:P28"/>
    <mergeCell ref="G29:P29"/>
    <mergeCell ref="G30:P30"/>
    <mergeCell ref="G31:P31"/>
    <mergeCell ref="AH31:AL31"/>
    <mergeCell ref="G15:P15"/>
    <mergeCell ref="G16:P16"/>
    <mergeCell ref="G17:P17"/>
    <mergeCell ref="G18:P18"/>
    <mergeCell ref="G19:P19"/>
    <mergeCell ref="G20:P20"/>
    <mergeCell ref="G21:P21"/>
    <mergeCell ref="G22:P22"/>
    <mergeCell ref="G23:P23"/>
    <mergeCell ref="X25:Z25"/>
    <mergeCell ref="X26:Z26"/>
    <mergeCell ref="AH38:AL38"/>
    <mergeCell ref="AC38:AG38"/>
    <mergeCell ref="AD31:AG31"/>
    <mergeCell ref="C34:F34"/>
    <mergeCell ref="C35:F35"/>
    <mergeCell ref="C36:F36"/>
    <mergeCell ref="C37:F37"/>
    <mergeCell ref="AH32:AL32"/>
    <mergeCell ref="AH33:AL33"/>
    <mergeCell ref="AH34:AL34"/>
    <mergeCell ref="AH35:AL35"/>
    <mergeCell ref="AH36:AL36"/>
    <mergeCell ref="AH37:AL37"/>
    <mergeCell ref="G32:P32"/>
    <mergeCell ref="G33:P33"/>
    <mergeCell ref="AD32:AG32"/>
    <mergeCell ref="AD33:AG33"/>
    <mergeCell ref="AD34:AG34"/>
    <mergeCell ref="AD35:AG35"/>
    <mergeCell ref="AD37:AG37"/>
    <mergeCell ref="AC36:AG36"/>
    <mergeCell ref="G34:P34"/>
    <mergeCell ref="X28:Z28"/>
    <mergeCell ref="X32:Z32"/>
    <mergeCell ref="X34:Z34"/>
    <mergeCell ref="S29:T29"/>
    <mergeCell ref="S30:T30"/>
    <mergeCell ref="S31:T31"/>
    <mergeCell ref="X29:Z29"/>
    <mergeCell ref="X30:Z30"/>
    <mergeCell ref="U29:W29"/>
    <mergeCell ref="U30:W30"/>
    <mergeCell ref="U31:W31"/>
    <mergeCell ref="X31:Z31"/>
    <mergeCell ref="S32:T32"/>
    <mergeCell ref="S34:T34"/>
    <mergeCell ref="X33:Z33"/>
    <mergeCell ref="U33:W33"/>
    <mergeCell ref="Q32:R32"/>
    <mergeCell ref="Q34:R34"/>
    <mergeCell ref="C28:F28"/>
    <mergeCell ref="C29:F29"/>
    <mergeCell ref="C30:F30"/>
    <mergeCell ref="C31:F31"/>
    <mergeCell ref="C32:F32"/>
    <mergeCell ref="C33:F33"/>
    <mergeCell ref="S33:T33"/>
    <mergeCell ref="Q29:R29"/>
    <mergeCell ref="Q30:R30"/>
    <mergeCell ref="Q31:R31"/>
    <mergeCell ref="Q28:R28"/>
    <mergeCell ref="S28:T28"/>
    <mergeCell ref="B46:Z46"/>
    <mergeCell ref="U40:W40"/>
    <mergeCell ref="U41:W41"/>
    <mergeCell ref="X36:Z36"/>
    <mergeCell ref="X37:Z37"/>
    <mergeCell ref="S36:T36"/>
    <mergeCell ref="Q36:R36"/>
    <mergeCell ref="Q37:R37"/>
    <mergeCell ref="Q33:R33"/>
    <mergeCell ref="S35:T35"/>
    <mergeCell ref="U39:W39"/>
    <mergeCell ref="S37:T37"/>
    <mergeCell ref="Q35:R35"/>
    <mergeCell ref="G35:P35"/>
    <mergeCell ref="G36:P36"/>
    <mergeCell ref="G37:P37"/>
    <mergeCell ref="X35:Z35"/>
    <mergeCell ref="U37:W37"/>
    <mergeCell ref="U36:W36"/>
    <mergeCell ref="U34:W34"/>
    <mergeCell ref="U35:W35"/>
    <mergeCell ref="X39:Z39"/>
    <mergeCell ref="X38:Z38"/>
    <mergeCell ref="X40:Z40"/>
    <mergeCell ref="X41:Z41"/>
    <mergeCell ref="U38:W38"/>
    <mergeCell ref="B44:Z44"/>
    <mergeCell ref="D43:Z43"/>
    <mergeCell ref="R12:Z12"/>
    <mergeCell ref="X15:Z15"/>
    <mergeCell ref="C18:F18"/>
    <mergeCell ref="Q14:R14"/>
    <mergeCell ref="S14:T14"/>
    <mergeCell ref="S25:T25"/>
    <mergeCell ref="S26:T26"/>
    <mergeCell ref="S27:T27"/>
    <mergeCell ref="X21:Z21"/>
    <mergeCell ref="X22:Z22"/>
    <mergeCell ref="X23:Z23"/>
    <mergeCell ref="X24:Z24"/>
    <mergeCell ref="Q22:R22"/>
    <mergeCell ref="U23:W23"/>
    <mergeCell ref="U24:W24"/>
    <mergeCell ref="U20:W20"/>
    <mergeCell ref="Q20:R20"/>
    <mergeCell ref="Q18:R18"/>
    <mergeCell ref="S18:T18"/>
    <mergeCell ref="C26:F26"/>
    <mergeCell ref="C27:F27"/>
    <mergeCell ref="Q26:R26"/>
    <mergeCell ref="Q27:R27"/>
    <mergeCell ref="U25:W25"/>
    <mergeCell ref="B9:E10"/>
    <mergeCell ref="F11:H11"/>
    <mergeCell ref="M4:N4"/>
    <mergeCell ref="B6:C6"/>
    <mergeCell ref="D6:N6"/>
    <mergeCell ref="F9:J10"/>
    <mergeCell ref="X11:Z11"/>
    <mergeCell ref="R11:U11"/>
    <mergeCell ref="V11:W11"/>
    <mergeCell ref="I11:J11"/>
    <mergeCell ref="B48:Z48"/>
    <mergeCell ref="B49:Z49"/>
    <mergeCell ref="F50:Z50"/>
    <mergeCell ref="F51:Z51"/>
    <mergeCell ref="X27:Z27"/>
    <mergeCell ref="U32:W32"/>
    <mergeCell ref="Q16:R16"/>
    <mergeCell ref="S24:T24"/>
    <mergeCell ref="S21:T21"/>
    <mergeCell ref="S22:T22"/>
    <mergeCell ref="S23:T23"/>
    <mergeCell ref="X18:Z18"/>
    <mergeCell ref="X19:Z19"/>
    <mergeCell ref="X20:Z20"/>
    <mergeCell ref="U28:W28"/>
    <mergeCell ref="U26:W26"/>
    <mergeCell ref="U27:W27"/>
    <mergeCell ref="S16:T16"/>
    <mergeCell ref="S17:T17"/>
    <mergeCell ref="C17:F17"/>
    <mergeCell ref="B50:E50"/>
    <mergeCell ref="B51:E51"/>
    <mergeCell ref="B45:Z45"/>
    <mergeCell ref="B47:Z47"/>
    <mergeCell ref="G14:P14"/>
    <mergeCell ref="C14:F14"/>
    <mergeCell ref="S15:T15"/>
    <mergeCell ref="U15:W15"/>
    <mergeCell ref="Q17:R17"/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P9:Q9"/>
    <mergeCell ref="B8:N8"/>
    <mergeCell ref="P10:Q10"/>
    <mergeCell ref="P12:Q12"/>
    <mergeCell ref="C15:F15"/>
    <mergeCell ref="C16:F16"/>
    <mergeCell ref="V2:Z2"/>
    <mergeCell ref="V3:Z3"/>
    <mergeCell ref="B4:L4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3" orientation="portrait"/>
  <headerFooter alignWithMargins="0"/>
  <rowBreaks count="1" manualBreakCount="1">
    <brk id="51" max="16383" man="1"/>
  </rowBreaks>
  <colBreaks count="1" manualBreakCount="1">
    <brk id="26" max="1048575" man="1"/>
  </colBreaks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見積書</vt:lpstr>
    </vt:vector>
  </TitlesOfParts>
  <Company>INUNITY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テンプレート</dc:title>
  <dc:subject>見積書テンプレート</dc:subject>
  <dc:creator>INUNITY</dc:creator>
  <cp:lastModifiedBy>SUDO YUI</cp:lastModifiedBy>
  <cp:lastPrinted>2013-02-04T05:02:13Z</cp:lastPrinted>
  <dcterms:created xsi:type="dcterms:W3CDTF">2003-08-26T07:11:29Z</dcterms:created>
  <dcterms:modified xsi:type="dcterms:W3CDTF">2014-05-24T12:51:57Z</dcterms:modified>
  <cp:category>フリーウェア</cp:category>
</cp:coreProperties>
</file>